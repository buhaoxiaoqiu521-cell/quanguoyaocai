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40"/>
  </bookViews>
  <sheets>
    <sheet name="报价录入" sheetId="1" r:id="rId1"/>
    <sheet name="下拉选项" sheetId="2" state="hidden" r:id="rId2"/>
    <sheet name="字段说明" sheetId="3" r:id="rId3"/>
    <sheet name="使用说明" sheetId="4" r:id="rId4"/>
  </sheets>
  <definedNames>
    <definedName name="_xlnm._FilterDatabase" localSheetId="0" hidden="1">报价录入!$A$1:$M$501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<sst xmlns="http://schemas.openxmlformats.org/spreadsheetml/2006/main" count="100" uniqueCount="61">
  <si>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记录日期</t>
  </si>
  <si>
    <t>品种</t>
  </si>
  <si>
    <t>规格</t>
  </si>
  <si>
    <t>单位</t>
  </si>
  <si>
    <t>市场</t>
  </si>
  <si>
    <t>产区</t>
  </si>
  <si>
    <t>今日价</t>
  </si>
  <si>
    <t>昨日价</t>
  </si>
  <si>
    <t>涨跌额</t>
  </si>
  <si>
    <t>涨跌幅</t>
  </si>
  <si>
    <t>来源网站</t>
  </si>
  <si>
    <t>来源链接</t>
  </si>
  <si>
    <t>备注</t>
  </si>
  <si>
    <t>2026-03-13</t>
  </si>
  <si>
    <t>当归</t>
  </si>
  <si>
    <t>甘肃统货</t>
  </si>
  <si>
    <t>元/kg</t>
  </si>
  <si>
    <t>亳州</t>
  </si>
  <si>
    <t>甘肃岷县</t>
  </si>
  <si>
    <t>药通网</t>
  </si>
  <si>
    <t>https://example.com</t>
  </si>
  <si>
    <t>示例行，可直接覆盖</t>
  </si>
  <si>
    <t>元/公斤</t>
  </si>
  <si>
    <t>安国</t>
  </si>
  <si>
    <t>中药材天地网</t>
  </si>
  <si>
    <t>元/斤</t>
  </si>
  <si>
    <t>玉林</t>
  </si>
  <si>
    <t>人工整理</t>
  </si>
  <si>
    <t>元/克</t>
  </si>
  <si>
    <t>成都</t>
  </si>
  <si>
    <t>其他</t>
  </si>
  <si>
    <t>字段</t>
  </si>
  <si>
    <t>是否必填</t>
  </si>
  <si>
    <t>怎么填</t>
  </si>
  <si>
    <t>例子</t>
  </si>
  <si>
    <t>是</t>
  </si>
  <si>
    <t>填当天日期</t>
  </si>
  <si>
    <t>标准品种名，尽量统一叫法</t>
  </si>
  <si>
    <t>写清统货/条芪/120头等</t>
  </si>
  <si>
    <t>优先统一用元/kg</t>
  </si>
  <si>
    <t>先以亳州/安国/玉林/成都为主</t>
  </si>
  <si>
    <t>否</t>
  </si>
  <si>
    <t>有就填，没有可留空</t>
  </si>
  <si>
    <t>只填数字，不写元</t>
  </si>
  <si>
    <t>62</t>
  </si>
  <si>
    <t>用于自动算涨跌</t>
  </si>
  <si>
    <t>58</t>
  </si>
  <si>
    <t>自动</t>
  </si>
  <si>
    <t>自动计算，不用手填</t>
  </si>
  <si>
    <t>4.00</t>
  </si>
  <si>
    <t>6.90%</t>
  </si>
  <si>
    <t>写药通网/中药材天地网/人工整理</t>
  </si>
  <si>
    <t>能保留原页面链接最好</t>
  </si>
  <si>
    <t>记录异常、口径说明等</t>
  </si>
  <si>
    <t>价格区间取中位数</t>
  </si>
  <si>
    <t>中药材全国追踪 数据录入模板</t>
  </si>
  <si>
    <t>1. 先在“报价录入”里填真实数据，优先填 10-20 个核心品种。</t>
  </si>
  <si>
    <t>2. 今日价、昨日价只填数字，不要写“元/kg”。</t>
  </si>
  <si>
    <t>3. 涨跌额、涨跌幅已自动计算。</t>
  </si>
  <si>
    <t>4. 先统一市场名和规格写法，后面网站才能做排行和趋势。</t>
  </si>
  <si>
    <t>5. 第一阶段建议只覆盖：亳州、安国、玉林、成都。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</si>
</sst>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C294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A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E3EA"/>
      </left>
      <right style="thin">
        <color rgb="FFD8E3EA"/>
      </right>
      <top style="thin">
        <color rgb="FFD8E3EA"/>
      </top>
      <bottom style="thin">
        <color rgb="FFD8E3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www.wps.cn/officeDocument/2017/etCustomData">
  <sheetPr/>
  <dimension ref="A1:M2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2" width="14" customWidth="1"/>
    <col min="3" max="3" width="18" customWidth="1"/>
    <col min="4" max="4" width="10" customWidth="1"/>
    <col min="5" max="5" width="12" customWidth="1"/>
    <col min="6" max="6" width="16" customWidth="1"/>
    <col min="7" max="10" width="10" customWidth="1"/>
    <col min="11" max="11" width="12" customWidth="1"/>
    <col min="12" max="12" width="36" customWidth="1"/>
    <col min="13" max="13" width="22" customWidth="1"/>
  </cols>
  <sheetData>
    <row r="1">
      <c r="A1" s="2" t="inlineStr">
        <is>
          <t>记录日期</t>
        </is>
      </c>
      <c r="B1" s="2" t="inlineStr">
        <is>
          <t>品种</t>
        </is>
      </c>
      <c r="C1" s="2" t="inlineStr">
        <is>
          <t>规格</t>
        </is>
      </c>
      <c r="D1" s="2" t="inlineStr">
        <is>
          <t>单位</t>
        </is>
      </c>
      <c r="E1" s="2" t="inlineStr">
        <is>
          <t>市场</t>
        </is>
      </c>
      <c r="F1" s="2" t="inlineStr">
        <is>
          <t>产区</t>
        </is>
      </c>
      <c r="G1" s="2" t="inlineStr">
        <is>
          <t>今日价</t>
        </is>
      </c>
      <c r="H1" s="2" t="inlineStr">
        <is>
          <t>昨日价</t>
        </is>
      </c>
      <c r="I1" s="2" t="inlineStr">
        <is>
          <t>涨跌额</t>
        </is>
      </c>
      <c r="J1" s="2" t="inlineStr">
        <is>
          <t>涨跌幅</t>
        </is>
      </c>
      <c r="K1" s="2" t="inlineStr">
        <is>
          <t>来源网站</t>
        </is>
      </c>
      <c r="L1" s="2" t="inlineStr">
        <is>
          <t>来源链接</t>
        </is>
      </c>
      <c r="M1" s="2" t="inlineStr">
        <is>
          <t>备注</t>
        </is>
      </c>
    </row>
    <row r="2">
      <c r="A2" s="7" t="inlineStr">
        <is>
          <t>2026-03-11</t>
        </is>
      </c>
      <c r="B2" s="8" t="inlineStr">
        <is>
          <t>丹参</t>
        </is>
      </c>
      <c r="C2" s="8" t="inlineStr">
        <is>
          <t>产地干货精品货</t>
        </is>
      </c>
      <c r="D2" s="9" t="inlineStr">
        <is>
          <t>元/kg</t>
        </is>
      </c>
      <c r="E2" s="8" t="inlineStr">
        <is>
          <t>产地</t>
        </is>
      </c>
      <c r="F2" s="8" t="inlineStr">
        <is>
          <t>山东平邑</t>
        </is>
      </c>
      <c r="G2" s="10">
        <v>16.5</v>
      </c>
      <c r="H2" s="10"/>
      <c r="K2" s="9" t="inlineStr">
        <is>
          <t>中药材天地网</t>
        </is>
      </c>
      <c r="L2" s="8" t="inlineStr">
        <is>
          <t>https://www.zyctd.com/zixun/201/1104837.html</t>
        </is>
      </c>
      <c r="M2" s="8" t="inlineStr">
        <is>
          <t>山东省临沂市平邑县丹参产地近期走货快</t>
        </is>
      </c>
      <c r="I2" s="10">
        <f>IF(OR(G2="",H2=""),"",G2-H2)</f>
      </c>
      <c r="J2" s="11">
        <f>IF(OR(G2="",H2="",H2=0),"",(G2-H2)/H2)</f>
      </c>
    </row>
    <row r="3">
      <c r="A3" s="7" t="inlineStr">
        <is>
          <t>2026-03-11</t>
        </is>
      </c>
      <c r="B3" s="8" t="inlineStr">
        <is>
          <t>丹参</t>
        </is>
      </c>
      <c r="C3" s="8" t="inlineStr">
        <is>
          <t>产区鲜货价格在</t>
        </is>
      </c>
      <c r="D3" s="9" t="inlineStr">
        <is>
          <t>元/kg</t>
        </is>
      </c>
      <c r="E3" s="8" t="inlineStr">
        <is>
          <t>产地</t>
        </is>
      </c>
      <c r="F3" s="8" t="inlineStr">
        <is>
          <t>河南许昌</t>
        </is>
      </c>
      <c r="G3" s="10">
        <v>3.0</v>
      </c>
      <c r="H3" s="10"/>
      <c r="K3" s="9" t="inlineStr">
        <is>
          <t>中药材天地网</t>
        </is>
      </c>
      <c r="L3" s="8" t="inlineStr">
        <is>
          <t>https://www.zyctd.com/zixun/201/1104833.html</t>
        </is>
      </c>
      <c r="M3" s="8" t="inlineStr">
        <is>
          <t>河南省许昌市禹州市丹参产新继续</t>
        </is>
      </c>
      <c r="I3" s="10">
        <f>IF(OR(G3="",H3=""),"",G3-H3)</f>
      </c>
      <c r="J3" s="11">
        <f>IF(OR(G3="",H3="",H3=0),"",(G3-H3)/H3)</f>
      </c>
    </row>
    <row r="4">
      <c r="A4" s="7" t="inlineStr">
        <is>
          <t>2026-03-11</t>
        </is>
      </c>
      <c r="B4" s="8" t="inlineStr">
        <is>
          <t>丹参</t>
        </is>
      </c>
      <c r="C4" s="8" t="inlineStr">
        <is>
          <t>本地所产的售价</t>
        </is>
      </c>
      <c r="D4" s="9" t="inlineStr">
        <is>
          <t>元/kg</t>
        </is>
      </c>
      <c r="E4" s="8" t="inlineStr">
        <is>
          <t>产地</t>
        </is>
      </c>
      <c r="F4" s="8" t="inlineStr">
        <is>
          <t>甘肃</t>
        </is>
      </c>
      <c r="G4" s="10">
        <v>10.0</v>
      </c>
      <c r="H4" s="10"/>
      <c r="K4" s="9" t="inlineStr">
        <is>
          <t>中药材天地网</t>
        </is>
      </c>
      <c r="L4" s="8" t="inlineStr">
        <is>
          <t>https://www.zyctd.com/zixun/201/1104845.html</t>
        </is>
      </c>
      <c r="M4" s="8" t="inlineStr">
        <is>
          <t>甘肃省庆阳地区丹参行情基本稳定</t>
        </is>
      </c>
      <c r="I4" s="10">
        <f>IF(OR(G4="",H4=""),"",G4-H4)</f>
      </c>
      <c r="J4" s="11">
        <f>IF(OR(G4="",H4="",H4=0),"",(G4-H4)/H4)</f>
      </c>
    </row>
    <row r="5">
      <c r="A5" s="7" t="inlineStr">
        <is>
          <t>2026-03-11</t>
        </is>
      </c>
      <c r="B5" s="8" t="inlineStr">
        <is>
          <t>仙鹤草</t>
        </is>
      </c>
      <c r="C5" s="8" t="inlineStr">
        <is>
          <t>片子</t>
        </is>
      </c>
      <c r="D5" s="9" t="inlineStr">
        <is>
          <t>元/kg</t>
        </is>
      </c>
      <c r="E5" s="8" t="inlineStr">
        <is>
          <t>产地</t>
        </is>
      </c>
      <c r="F5" s="8" t="inlineStr">
        <is>
          <t>河南桐柏</t>
        </is>
      </c>
      <c r="G5" s="10">
        <v>8.0</v>
      </c>
      <c r="H5" s="10"/>
      <c r="K5" s="9" t="inlineStr">
        <is>
          <t>中药材天地网</t>
        </is>
      </c>
      <c r="L5" s="8" t="inlineStr">
        <is>
          <t>https://www.zyctd.com/zixun/201/1104749.html</t>
        </is>
      </c>
      <c r="M5" s="8" t="inlineStr">
        <is>
          <t>河南省南阳市桐柏县仙鹤草价格上浮</t>
        </is>
      </c>
      <c r="I5" s="10">
        <f>IF(OR(G5="",H5=""),"",G5-H5)</f>
      </c>
      <c r="J5" s="11">
        <f>IF(OR(G5="",H5="",H5=0),"",(G5-H5)/H5)</f>
      </c>
    </row>
    <row r="6">
      <c r="A6" s="7" t="inlineStr">
        <is>
          <t>2026-03-11</t>
        </is>
      </c>
      <c r="B6" s="8" t="inlineStr">
        <is>
          <t>全蝎</t>
        </is>
      </c>
      <c r="C6" s="8" t="inlineStr">
        <is>
          <t>3到5厘米统货价格在</t>
        </is>
      </c>
      <c r="D6" s="9" t="inlineStr">
        <is>
          <t>元/kg</t>
        </is>
      </c>
      <c r="E6" s="8" t="inlineStr">
        <is>
          <t>产地</t>
        </is>
      </c>
      <c r="F6" s="8" t="inlineStr">
        <is>
          <t>河南洛阳</t>
        </is>
      </c>
      <c r="G6" s="10">
        <v>1400.0</v>
      </c>
      <c r="H6" s="10"/>
      <c r="K6" s="9" t="inlineStr">
        <is>
          <t>中药材天地网</t>
        </is>
      </c>
      <c r="L6" s="8" t="inlineStr">
        <is>
          <t>https://www.zyctd.com/zixun/201/1104751.html</t>
        </is>
      </c>
      <c r="M6" s="8" t="inlineStr">
        <is>
          <t>河南省洛阳市老城区全蝎走势平稳</t>
        </is>
      </c>
      <c r="I6" s="10">
        <f>IF(OR(G6="",H6=""),"",G6-H6)</f>
      </c>
      <c r="J6" s="11">
        <f>IF(OR(G6="",H6="",H6=0),"",(G6-H6)/H6)</f>
      </c>
    </row>
    <row r="7">
      <c r="A7" s="7" t="inlineStr">
        <is>
          <t>2026-03-11</t>
        </is>
      </c>
      <c r="B7" s="8" t="inlineStr">
        <is>
          <t>升麻</t>
        </is>
      </c>
      <c r="C7" s="8" t="inlineStr">
        <is>
          <t>坚挺，现本地光升麻报价</t>
        </is>
      </c>
      <c r="D7" s="9" t="inlineStr">
        <is>
          <t>元/kg</t>
        </is>
      </c>
      <c r="E7" s="8" t="inlineStr">
        <is>
          <t>产地</t>
        </is>
      </c>
      <c r="F7" s="8" t="inlineStr">
        <is>
          <t>内蒙古呼伦贝尔市鄂伦春旗</t>
        </is>
      </c>
      <c r="G7" s="10">
        <v>72.0</v>
      </c>
      <c r="H7" s="10"/>
      <c r="K7" s="9" t="inlineStr">
        <is>
          <t>中药材天地网</t>
        </is>
      </c>
      <c r="L7" s="8" t="inlineStr">
        <is>
          <t>https://www.zyctd.com/zixun/201/1104826.html</t>
        </is>
      </c>
      <c r="M7" s="8" t="inlineStr">
        <is>
          <t>内蒙古呼伦贝尔市鄂伦春旗升麻行情在坚挺中运行</t>
        </is>
      </c>
      <c r="I7" s="10">
        <f>IF(OR(G7="",H7=""),"",G7-H7)</f>
      </c>
      <c r="J7" s="11">
        <f>IF(OR(G7="",H7="",H7=0),"",(G7-H7)/H7)</f>
      </c>
    </row>
    <row r="8">
      <c r="A8" s="7" t="inlineStr">
        <is>
          <t>2026-03-11</t>
        </is>
      </c>
      <c r="B8" s="8" t="inlineStr">
        <is>
          <t>土大黄</t>
        </is>
      </c>
      <c r="C8" s="8" t="inlineStr">
        <is>
          <t>统货价格在</t>
        </is>
      </c>
      <c r="D8" s="9" t="inlineStr">
        <is>
          <t>元/kg</t>
        </is>
      </c>
      <c r="E8" s="8" t="inlineStr">
        <is>
          <t>产地</t>
        </is>
      </c>
      <c r="F8" s="8" t="inlineStr">
        <is>
          <t>甘肃正宁</t>
        </is>
      </c>
      <c r="G8" s="10">
        <v>5.5</v>
      </c>
      <c r="H8" s="10"/>
      <c r="K8" s="9" t="inlineStr">
        <is>
          <t>中药材天地网</t>
        </is>
      </c>
      <c r="L8" s="8" t="inlineStr">
        <is>
          <t>https://www.zyctd.com/zixun/201/1104849.html</t>
        </is>
      </c>
      <c r="M8" s="8" t="inlineStr">
        <is>
          <t>甘肃省庆阳市正宁县土大黄延续年前价格</t>
        </is>
      </c>
      <c r="I8" s="10">
        <f>IF(OR(G8="",H8=""),"",G8-H8)</f>
      </c>
      <c r="J8" s="11">
        <f>IF(OR(G8="",H8="",H8=0),"",(G8-H8)/H8)</f>
      </c>
    </row>
    <row r="9">
      <c r="A9" s="7" t="inlineStr">
        <is>
          <t>2026-03-11</t>
        </is>
      </c>
      <c r="B9" s="8" t="inlineStr">
        <is>
          <t>地黄</t>
        </is>
      </c>
      <c r="C9" s="8" t="inlineStr">
        <is>
          <t>地黄（三级）价格为</t>
        </is>
      </c>
      <c r="D9" s="9" t="inlineStr">
        <is>
          <t>元/kg</t>
        </is>
      </c>
      <c r="E9" s="8" t="inlineStr">
        <is>
          <t>产地</t>
        </is>
      </c>
      <c r="F9" s="8" t="inlineStr">
        <is>
          <t>河南武陟</t>
        </is>
      </c>
      <c r="G9" s="10">
        <v>11.0</v>
      </c>
      <c r="H9" s="10"/>
      <c r="K9" s="9" t="inlineStr">
        <is>
          <t>中药材天地网</t>
        </is>
      </c>
      <c r="L9" s="8" t="inlineStr">
        <is>
          <t>https://www.zyctd.com/zixun/201/1104820.html</t>
        </is>
      </c>
      <c r="M9" s="8" t="inlineStr">
        <is>
          <t>河南省焦作市武陟县 地黄 走势畅快</t>
        </is>
      </c>
      <c r="I9" s="10">
        <f>IF(OR(G9="",H9=""),"",G9-H9)</f>
      </c>
      <c r="J9" s="11">
        <f>IF(OR(G9="",H9="",H9=0),"",(G9-H9)/H9)</f>
      </c>
    </row>
    <row r="10">
      <c r="A10" s="7" t="inlineStr">
        <is>
          <t>2026-03-11</t>
        </is>
      </c>
      <c r="B10" s="8" t="inlineStr">
        <is>
          <t>天冬</t>
        </is>
      </c>
      <c r="C10" s="8" t="inlineStr">
        <is>
          <t>统个</t>
        </is>
      </c>
      <c r="D10" s="9" t="inlineStr">
        <is>
          <t>元/kg</t>
        </is>
      </c>
      <c r="E10" s="8" t="inlineStr">
        <is>
          <t>玉林</t>
        </is>
      </c>
      <c r="F10" s="8" t="inlineStr">
        <is>
          <t>广西玉林市福绵区近期天冬</t>
        </is>
      </c>
      <c r="G10" s="10">
        <v>48.0</v>
      </c>
      <c r="H10" s="10"/>
      <c r="K10" s="9" t="inlineStr">
        <is>
          <t>中药材天地网</t>
        </is>
      </c>
      <c r="L10" s="8" t="inlineStr">
        <is>
          <t>https://www.zyctd.com/zixun/201/1104840.html</t>
        </is>
      </c>
      <c r="M10" s="8" t="inlineStr">
        <is>
          <t>广西玉林市福绵区近期天冬走货畅快</t>
        </is>
      </c>
      <c r="I10" s="10">
        <f>IF(OR(G10="",H10=""),"",G10-H10)</f>
      </c>
      <c r="J10" s="11">
        <f>IF(OR(G10="",H10="",H10=0),"",(G10-H10)/H10)</f>
      </c>
    </row>
    <row r="11">
      <c r="A11" s="7" t="inlineStr">
        <is>
          <t>2026-03-11</t>
        </is>
      </c>
      <c r="B11" s="8" t="inlineStr">
        <is>
          <t>女贞子</t>
        </is>
      </c>
      <c r="C11" s="8" t="inlineStr">
        <is>
          <t>统货</t>
        </is>
      </c>
      <c r="D11" s="9" t="inlineStr">
        <is>
          <t>元/kg</t>
        </is>
      </c>
      <c r="E11" s="8" t="inlineStr">
        <is>
          <t>产地</t>
        </is>
      </c>
      <c r="F11" s="8" t="inlineStr">
        <is>
          <t>河南桐柏</t>
        </is>
      </c>
      <c r="G11" s="10">
        <v>1.6</v>
      </c>
      <c r="H11" s="10"/>
      <c r="K11" s="9" t="inlineStr">
        <is>
          <t>中药材天地网</t>
        </is>
      </c>
      <c r="L11" s="8" t="inlineStr">
        <is>
          <t>https://www.zyctd.com/zixun/201/1104750.html</t>
        </is>
      </c>
      <c r="M11" s="8" t="inlineStr">
        <is>
          <t>河南省南阳市桐柏县女贞子货源充足</t>
        </is>
      </c>
      <c r="I11" s="10">
        <f>IF(OR(G11="",H11=""),"",G11-H11)</f>
      </c>
      <c r="J11" s="11">
        <f>IF(OR(G11="",H11="",H11=0),"",(G11-H11)/H11)</f>
      </c>
    </row>
    <row r="12">
      <c r="A12" s="7" t="inlineStr">
        <is>
          <t>2026-03-11</t>
        </is>
      </c>
      <c r="B12" s="8" t="inlineStr">
        <is>
          <t>山麦冬</t>
        </is>
      </c>
      <c r="C12" s="8" t="inlineStr">
        <is>
          <t>近期价格在</t>
        </is>
      </c>
      <c r="D12" s="9" t="inlineStr">
        <is>
          <t>元/kg</t>
        </is>
      </c>
      <c r="E12" s="8" t="inlineStr">
        <is>
          <t>产地</t>
        </is>
      </c>
      <c r="F12" s="8" t="inlineStr">
        <is>
          <t>湖北襄阳</t>
        </is>
      </c>
      <c r="G12" s="10">
        <v>11.0</v>
      </c>
      <c r="H12" s="10"/>
      <c r="K12" s="9" t="inlineStr">
        <is>
          <t>中药材天地网</t>
        </is>
      </c>
      <c r="L12" s="8" t="inlineStr">
        <is>
          <t>https://www.zyctd.com/zixun/201/1104774.html</t>
        </is>
      </c>
      <c r="M12" s="8" t="inlineStr">
        <is>
          <t>湖北省襄阳市山麦冬产新中 价格下滑</t>
        </is>
      </c>
      <c r="I12" s="10">
        <f>IF(OR(G12="",H12=""),"",G12-H12)</f>
      </c>
      <c r="J12" s="11">
        <f>IF(OR(G12="",H12="",H12=0),"",(G12-H12)/H12)</f>
      </c>
    </row>
    <row r="13">
      <c r="A13" s="7" t="inlineStr">
        <is>
          <t>2026-03-11</t>
        </is>
      </c>
      <c r="B13" s="8" t="inlineStr">
        <is>
          <t>巴戟天</t>
        </is>
      </c>
      <c r="C13" s="8" t="inlineStr">
        <is>
          <t>统货</t>
        </is>
      </c>
      <c r="D13" s="9" t="inlineStr">
        <is>
          <t>元/kg</t>
        </is>
      </c>
      <c r="E13" s="8" t="inlineStr">
        <is>
          <t>产地</t>
        </is>
      </c>
      <c r="F13" s="8" t="inlineStr">
        <is>
          <t>广东肇庆</t>
        </is>
      </c>
      <c r="G13" s="10"/>
      <c r="H13" s="10"/>
      <c r="K13" s="9" t="inlineStr">
        <is>
          <t>中药材天地网</t>
        </is>
      </c>
      <c r="L13" s="8" t="inlineStr">
        <is>
          <t>https://www.zyctd.com/zixun/201/1104839.html</t>
        </is>
      </c>
      <c r="M13" s="8" t="inlineStr">
        <is>
          <t>广东省肇庆市高要区巴戟天鲜货开始抢时采挖</t>
        </is>
      </c>
      <c r="I13" s="10">
        <f>IF(OR(G13="",H13=""),"",G13-H13)</f>
      </c>
      <c r="J13" s="11">
        <f>IF(OR(G13="",H13="",H13=0),"",(G13-H13)/H13)</f>
      </c>
    </row>
    <row r="14">
      <c r="A14" s="7" t="inlineStr">
        <is>
          <t>2026-03-11</t>
        </is>
      </c>
      <c r="B14" s="8" t="inlineStr">
        <is>
          <t>广藿香</t>
        </is>
      </c>
      <c r="C14" s="8" t="inlineStr">
        <is>
          <t>统条价格</t>
        </is>
      </c>
      <c r="D14" s="9" t="inlineStr">
        <is>
          <t>元/kg</t>
        </is>
      </c>
      <c r="E14" s="8" t="inlineStr">
        <is>
          <t>产地</t>
        </is>
      </c>
      <c r="F14" s="8" t="inlineStr">
        <is>
          <t>广西贵港市桥圩镇广藿香行</t>
        </is>
      </c>
      <c r="G14" s="10">
        <v>7.5</v>
      </c>
      <c r="H14" s="10"/>
      <c r="K14" s="9" t="inlineStr">
        <is>
          <t>中药材天地网</t>
        </is>
      </c>
      <c r="L14" s="8" t="inlineStr">
        <is>
          <t>https://www.zyctd.com/zixun/201/1104795.html</t>
        </is>
      </c>
      <c r="M14" s="8" t="inlineStr">
        <is>
          <t>广西贵港市桥圩镇广藿香行情好于去年</t>
        </is>
      </c>
      <c r="I14" s="10">
        <f>IF(OR(G14="",H14=""),"",G14-H14)</f>
      </c>
      <c r="J14" s="11">
        <f>IF(OR(G14="",H14="",H14=0),"",(G14-H14)/H14)</f>
      </c>
    </row>
    <row r="15">
      <c r="A15" s="7" t="inlineStr">
        <is>
          <t>2026-03-11</t>
        </is>
      </c>
      <c r="B15" s="8" t="inlineStr">
        <is>
          <t>延胡索</t>
        </is>
      </c>
      <c r="C15" s="8" t="inlineStr">
        <is>
          <t>统货在</t>
        </is>
      </c>
      <c r="D15" s="9" t="inlineStr">
        <is>
          <t>元/kg</t>
        </is>
      </c>
      <c r="E15" s="8" t="inlineStr">
        <is>
          <t>浙八味市场</t>
        </is>
      </c>
      <c r="F15" s="8" t="inlineStr">
        <is>
          <t>浙江磐安</t>
        </is>
      </c>
      <c r="G15" s="10">
        <v>78.0</v>
      </c>
      <c r="H15" s="10"/>
      <c r="K15" s="9" t="inlineStr">
        <is>
          <t>中药材天地网</t>
        </is>
      </c>
      <c r="L15" s="8" t="inlineStr">
        <is>
          <t>https://www.zyctd.com/zixun/201/1104777.html</t>
        </is>
      </c>
      <c r="M15" s="8" t="inlineStr">
        <is>
          <t>浙江省金华市磐安县延胡索行情继续走稳</t>
        </is>
      </c>
      <c r="I15" s="10">
        <f>IF(OR(G15="",H15=""),"",G15-H15)</f>
      </c>
      <c r="J15" s="11">
        <f>IF(OR(G15="",H15="",H15=0),"",(G15-H15)/H15)</f>
      </c>
    </row>
    <row r="16">
      <c r="A16" s="7" t="inlineStr">
        <is>
          <t>2026-03-11</t>
        </is>
      </c>
      <c r="B16" s="8" t="inlineStr">
        <is>
          <t>板蓝根</t>
        </is>
      </c>
      <c r="C16" s="8" t="inlineStr">
        <is>
          <t>本地板蓝根统货报价</t>
        </is>
      </c>
      <c r="D16" s="9" t="inlineStr">
        <is>
          <t>元/kg</t>
        </is>
      </c>
      <c r="E16" s="8" t="inlineStr">
        <is>
          <t>产地</t>
        </is>
      </c>
      <c r="F16" s="8" t="inlineStr">
        <is>
          <t>内蒙古呼伦贝尔市鄂伦春旗</t>
        </is>
      </c>
      <c r="G16" s="10">
        <v>9.0</v>
      </c>
      <c r="H16" s="10"/>
      <c r="K16" s="9" t="inlineStr">
        <is>
          <t>中药材天地网</t>
        </is>
      </c>
      <c r="L16" s="8" t="inlineStr">
        <is>
          <t>https://www.zyctd.com/zixun/201/1104823.html</t>
        </is>
      </c>
      <c r="M16" s="8" t="inlineStr">
        <is>
          <t>内蒙古呼伦贝尔市鄂伦春旗板蓝根货源正常购销中</t>
        </is>
      </c>
      <c r="I16" s="10">
        <f>IF(OR(G16="",H16=""),"",G16-H16)</f>
      </c>
      <c r="J16" s="11">
        <f>IF(OR(G16="",H16="",H16=0),"",(G16-H16)/H16)</f>
      </c>
    </row>
    <row r="17">
      <c r="A17" s="7" t="inlineStr">
        <is>
          <t>2026-03-11</t>
        </is>
      </c>
      <c r="B17" s="8" t="inlineStr">
        <is>
          <t>柴胡</t>
        </is>
      </c>
      <c r="C17" s="8" t="inlineStr">
        <is>
          <t>本地所产的药厂货要价</t>
        </is>
      </c>
      <c r="D17" s="9" t="inlineStr">
        <is>
          <t>元/kg</t>
        </is>
      </c>
      <c r="E17" s="8" t="inlineStr">
        <is>
          <t>产地</t>
        </is>
      </c>
      <c r="F17" s="8" t="inlineStr">
        <is>
          <t>甘肃</t>
        </is>
      </c>
      <c r="G17" s="10">
        <v>58.0</v>
      </c>
      <c r="H17" s="10"/>
      <c r="K17" s="9" t="inlineStr">
        <is>
          <t>中药材天地网</t>
        </is>
      </c>
      <c r="L17" s="8" t="inlineStr">
        <is>
          <t>https://www.zyctd.com/zixun/201/1104846.html</t>
        </is>
      </c>
      <c r="M17" s="8" t="inlineStr">
        <is>
          <t>甘肃省庆阳地区柴胡行情暂时平稳</t>
        </is>
      </c>
      <c r="I17" s="10">
        <f>IF(OR(G17="",H17=""),"",G17-H17)</f>
      </c>
      <c r="J17" s="11">
        <f>IF(OR(G17="",H17="",H17=0),"",(G17-H17)/H17)</f>
      </c>
    </row>
    <row r="18">
      <c r="A18" s="7" t="inlineStr">
        <is>
          <t>2026-03-11</t>
        </is>
      </c>
      <c r="B18" s="8" t="inlineStr">
        <is>
          <t>泽泻</t>
        </is>
      </c>
      <c r="C18" s="8" t="inlineStr">
        <is>
          <t>统货</t>
        </is>
      </c>
      <c r="D18" s="9" t="inlineStr">
        <is>
          <t>元/kg</t>
        </is>
      </c>
      <c r="E18" s="8" t="inlineStr">
        <is>
          <t>产地</t>
        </is>
      </c>
      <c r="F18" s="8" t="inlineStr">
        <is>
          <t>广西贵港市桥圩镇泽泻产新</t>
        </is>
      </c>
      <c r="G18" s="10"/>
      <c r="H18" s="10"/>
      <c r="K18" s="9" t="inlineStr">
        <is>
          <t>中药材天地网</t>
        </is>
      </c>
      <c r="L18" s="8" t="inlineStr">
        <is>
          <t>https://www.zyctd.com/zixun/201/1104793.html</t>
        </is>
      </c>
      <c r="M18" s="8" t="inlineStr">
        <is>
          <t>广西贵港市桥圩镇泽泻产新上市货少</t>
        </is>
      </c>
      <c r="I18" s="10">
        <f>IF(OR(G18="",H18=""),"",G18-H18)</f>
      </c>
      <c r="J18" s="11">
        <f>IF(OR(G18="",H18="",H18=0),"",(G18-H18)/H18)</f>
      </c>
    </row>
    <row r="19">
      <c r="A19" s="7" t="inlineStr">
        <is>
          <t>2026-03-11</t>
        </is>
      </c>
      <c r="B19" s="8" t="inlineStr">
        <is>
          <t>浙贝母</t>
        </is>
      </c>
      <c r="C19" s="8" t="inlineStr">
        <is>
          <t>小片在</t>
        </is>
      </c>
      <c r="D19" s="9" t="inlineStr">
        <is>
          <t>元/kg</t>
        </is>
      </c>
      <c r="E19" s="8" t="inlineStr">
        <is>
          <t>浙八味市场</t>
        </is>
      </c>
      <c r="F19" s="8" t="inlineStr">
        <is>
          <t>浙江磐安</t>
        </is>
      </c>
      <c r="G19" s="10">
        <v>140.0</v>
      </c>
      <c r="H19" s="10"/>
      <c r="K19" s="9" t="inlineStr">
        <is>
          <t>中药材天地网</t>
        </is>
      </c>
      <c r="L19" s="8" t="inlineStr">
        <is>
          <t>https://www.zyctd.com/zixun/201/1104779.html</t>
        </is>
      </c>
      <c r="M19" s="8" t="inlineStr">
        <is>
          <t>浙江省金华市磐安县浙八味市场浙贝母表现好于上一集</t>
        </is>
      </c>
      <c r="I19" s="10">
        <f>IF(OR(G19="",H19=""),"",G19-H19)</f>
      </c>
      <c r="J19" s="11">
        <f>IF(OR(G19="",H19="",H19=0),"",(G19-H19)/H19)</f>
      </c>
    </row>
    <row r="20">
      <c r="A20" s="7" t="inlineStr">
        <is>
          <t>2026-03-11</t>
        </is>
      </c>
      <c r="B20" s="8" t="inlineStr">
        <is>
          <t>淫羊藿</t>
        </is>
      </c>
      <c r="C20" s="8" t="inlineStr">
        <is>
          <t>本地淫羊藿报价</t>
        </is>
      </c>
      <c r="D20" s="9" t="inlineStr">
        <is>
          <t>元/kg</t>
        </is>
      </c>
      <c r="E20" s="8" t="inlineStr">
        <is>
          <t>产地</t>
        </is>
      </c>
      <c r="F20" s="8" t="inlineStr">
        <is>
          <t>内蒙古呼伦贝尔市鄂伦春旗</t>
        </is>
      </c>
      <c r="G20" s="10">
        <v>85.0</v>
      </c>
      <c r="H20" s="10"/>
      <c r="K20" s="9" t="inlineStr">
        <is>
          <t>中药材天地网</t>
        </is>
      </c>
      <c r="L20" s="8" t="inlineStr">
        <is>
          <t>https://www.zyctd.com/zixun/201/1104827.html</t>
        </is>
      </c>
      <c r="M20" s="8" t="inlineStr">
        <is>
          <t>内蒙古呼伦贝尔市鄂伦春旗淫羊藿行情继续上扬</t>
        </is>
      </c>
      <c r="I20" s="10">
        <f>IF(OR(G20="",H20=""),"",G20-H20)</f>
      </c>
      <c r="J20" s="11">
        <f>IF(OR(G20="",H20="",H20=0),"",(G20-H20)/H20)</f>
      </c>
    </row>
    <row r="21">
      <c r="A21" s="7" t="inlineStr">
        <is>
          <t>2026-03-11</t>
        </is>
      </c>
      <c r="B21" s="8" t="inlineStr">
        <is>
          <t>玄参</t>
        </is>
      </c>
      <c r="C21" s="8" t="inlineStr">
        <is>
          <t>鲜货报价在</t>
        </is>
      </c>
      <c r="D21" s="9" t="inlineStr">
        <is>
          <t>元/kg</t>
        </is>
      </c>
      <c r="E21" s="8" t="inlineStr">
        <is>
          <t>产地</t>
        </is>
      </c>
      <c r="F21" s="8" t="inlineStr">
        <is>
          <t>河南许昌</t>
        </is>
      </c>
      <c r="G21" s="10">
        <v>1.0</v>
      </c>
      <c r="H21" s="10"/>
      <c r="K21" s="9" t="inlineStr">
        <is>
          <t>中药材天地网</t>
        </is>
      </c>
      <c r="L21" s="8" t="inlineStr">
        <is>
          <t>https://www.zyctd.com/zixun/201/1104834.html</t>
        </is>
      </c>
      <c r="M21" s="8" t="inlineStr">
        <is>
          <t>河南省许昌市禹州市玄参产新继续</t>
        </is>
      </c>
      <c r="I21" s="10">
        <f>IF(OR(G21="",H21=""),"",G21-H21)</f>
      </c>
      <c r="J21" s="11">
        <f>IF(OR(G21="",H21="",H21=0),"",(G21-H21)/H21)</f>
      </c>
    </row>
    <row r="22">
      <c r="A22" s="7" t="inlineStr">
        <is>
          <t>2026-03-11</t>
        </is>
      </c>
      <c r="B22" s="8" t="inlineStr">
        <is>
          <t>白鲜皮</t>
        </is>
      </c>
      <c r="C22" s="8" t="inlineStr">
        <is>
          <t>本地白鲜皮85%的货价</t>
        </is>
      </c>
      <c r="D22" s="9" t="inlineStr">
        <is>
          <t>元/kg</t>
        </is>
      </c>
      <c r="E22" s="8" t="inlineStr">
        <is>
          <t>产地</t>
        </is>
      </c>
      <c r="F22" s="8" t="inlineStr">
        <is>
          <t>内蒙古呼伦贝尔市鄂伦春旗</t>
        </is>
      </c>
      <c r="G22" s="10">
        <v>125.0</v>
      </c>
      <c r="H22" s="10"/>
      <c r="K22" s="9" t="inlineStr">
        <is>
          <t>中药材天地网</t>
        </is>
      </c>
      <c r="L22" s="8" t="inlineStr">
        <is>
          <t>https://www.zyctd.com/zixun/201/1104825.html</t>
        </is>
      </c>
      <c r="M22" s="8" t="inlineStr">
        <is>
          <t>内蒙古呼伦贝尔市鄂伦春旗白鲜皮行情平稳</t>
        </is>
      </c>
      <c r="I22" s="10">
        <f>IF(OR(G22="",H22=""),"",G22-H22)</f>
      </c>
      <c r="J22" s="11">
        <f>IF(OR(G22="",H22="",H22=0),"",(G22-H22)/H22)</f>
      </c>
    </row>
    <row r="23">
      <c r="A23" s="7" t="inlineStr">
        <is>
          <t>2026-03-11</t>
        </is>
      </c>
      <c r="B23" s="8" t="inlineStr">
        <is>
          <t>百合</t>
        </is>
      </c>
      <c r="C23" s="8" t="inlineStr">
        <is>
          <t>精选特级价格为</t>
        </is>
      </c>
      <c r="D23" s="9" t="inlineStr">
        <is>
          <t>元/kg</t>
        </is>
      </c>
      <c r="E23" s="8" t="inlineStr">
        <is>
          <t>产地</t>
        </is>
      </c>
      <c r="F23" s="8" t="inlineStr">
        <is>
          <t>湖南龙牙百合近期走货畅快</t>
        </is>
      </c>
      <c r="G23" s="10">
        <v>135.0</v>
      </c>
      <c r="H23" s="10"/>
      <c r="K23" s="9" t="inlineStr">
        <is>
          <t>中药材天地网</t>
        </is>
      </c>
      <c r="L23" s="8" t="inlineStr">
        <is>
          <t>https://www.zyctd.com/zixun/201/1104841.html</t>
        </is>
      </c>
      <c r="M23" s="8" t="inlineStr">
        <is>
          <t>湖南产地龙牙百合近期走货畅快</t>
        </is>
      </c>
      <c r="I23" s="10">
        <f>IF(OR(G23="",H23=""),"",G23-H23)</f>
      </c>
      <c r="J23" s="11">
        <f>IF(OR(G23="",H23="",H23=0),"",(G23-H23)/H23)</f>
      </c>
    </row>
    <row r="24">
      <c r="A24" s="7" t="inlineStr">
        <is>
          <t>2026-03-11</t>
        </is>
      </c>
      <c r="B24" s="8" t="inlineStr">
        <is>
          <t>穿心莲</t>
        </is>
      </c>
      <c r="C24" s="8" t="inlineStr">
        <is>
          <t>全草价格</t>
        </is>
      </c>
      <c r="D24" s="9" t="inlineStr">
        <is>
          <t>元/kg</t>
        </is>
      </c>
      <c r="E24" s="8" t="inlineStr">
        <is>
          <t>产地</t>
        </is>
      </c>
      <c r="F24" s="8" t="inlineStr">
        <is>
          <t>广西贵港市桥圩镇穿心莲行</t>
        </is>
      </c>
      <c r="G24" s="10">
        <v>4.5</v>
      </c>
      <c r="H24" s="10"/>
      <c r="K24" s="9" t="inlineStr">
        <is>
          <t>中药材天地网</t>
        </is>
      </c>
      <c r="L24" s="8" t="inlineStr">
        <is>
          <t>https://www.zyctd.com/zixun/201/1104796.html</t>
        </is>
      </c>
      <c r="M24" s="8" t="inlineStr">
        <is>
          <t>广西贵港市桥圩镇穿心莲行情保持平稳</t>
        </is>
      </c>
      <c r="I24" s="10">
        <f>IF(OR(G24="",H24=""),"",G24-H24)</f>
      </c>
      <c r="J24" s="11">
        <f>IF(OR(G24="",H24="",H24=0),"",(G24-H24)/H24)</f>
      </c>
    </row>
    <row r="25">
      <c r="A25" s="7" t="inlineStr">
        <is>
          <t>2026-03-11</t>
        </is>
      </c>
      <c r="B25" s="8" t="inlineStr">
        <is>
          <t>苍术</t>
        </is>
      </c>
      <c r="C25" s="8" t="inlineStr">
        <is>
          <t>本地家种苍术报价</t>
        </is>
      </c>
      <c r="D25" s="9" t="inlineStr">
        <is>
          <t>元/kg</t>
        </is>
      </c>
      <c r="E25" s="8" t="inlineStr">
        <is>
          <t>产地</t>
        </is>
      </c>
      <c r="F25" s="8" t="inlineStr">
        <is>
          <t>内蒙古呼伦贝尔市鄂伦春旗</t>
        </is>
      </c>
      <c r="G25" s="10">
        <v>27.0</v>
      </c>
      <c r="H25" s="10"/>
      <c r="K25" s="9" t="inlineStr">
        <is>
          <t>中药材天地网</t>
        </is>
      </c>
      <c r="L25" s="8" t="inlineStr">
        <is>
          <t>https://www.zyctd.com/zixun/201/1104830.html</t>
        </is>
      </c>
      <c r="M25" s="8" t="inlineStr">
        <is>
          <t>内蒙古呼伦贝尔市鄂伦春旗苍术行情表现坚挺</t>
        </is>
      </c>
      <c r="I25" s="10">
        <f>IF(OR(G25="",H25=""),"",G25-H25)</f>
      </c>
      <c r="J25" s="11">
        <f>IF(OR(G25="",H25="",H25=0),"",(G25-H25)/H25)</f>
      </c>
    </row>
    <row r="26">
      <c r="A26" s="7" t="inlineStr">
        <is>
          <t>2026-03-11</t>
        </is>
      </c>
      <c r="B26" s="8" t="inlineStr">
        <is>
          <t>茵陈</t>
        </is>
      </c>
      <c r="C26" s="8" t="inlineStr">
        <is>
          <t>产地统货售价</t>
        </is>
      </c>
      <c r="D26" s="9" t="inlineStr">
        <is>
          <t>元/kg</t>
        </is>
      </c>
      <c r="E26" s="8" t="inlineStr">
        <is>
          <t>产地</t>
        </is>
      </c>
      <c r="F26" s="8" t="inlineStr">
        <is>
          <t>甘肃</t>
        </is>
      </c>
      <c r="G26" s="10">
        <v>6.4</v>
      </c>
      <c r="H26" s="10"/>
      <c r="K26" s="9" t="inlineStr">
        <is>
          <t>中药材天地网</t>
        </is>
      </c>
      <c r="L26" s="8" t="inlineStr">
        <is>
          <t>https://www.zyctd.com/zixun/201/1104847.html</t>
        </is>
      </c>
      <c r="M26" s="8" t="inlineStr">
        <is>
          <t>甘肃省庆阳地区茵陈行情不温不火</t>
        </is>
      </c>
      <c r="I26" s="10">
        <f>IF(OR(G26="",H26=""),"",G26-H26)</f>
      </c>
      <c r="J26" s="11">
        <f>IF(OR(G26="",H26="",H26=0),"",(G26-H26)/H26)</f>
      </c>
    </row>
    <row r="27">
      <c r="A27" s="7" t="inlineStr">
        <is>
          <t>2026-03-11</t>
        </is>
      </c>
      <c r="B27" s="8" t="inlineStr">
        <is>
          <t>荆芥</t>
        </is>
      </c>
      <c r="C27" s="8" t="inlineStr">
        <is>
          <t>本地荆芥药厂咀子报价</t>
        </is>
      </c>
      <c r="D27" s="9" t="inlineStr">
        <is>
          <t>元/kg</t>
        </is>
      </c>
      <c r="E27" s="8" t="inlineStr">
        <is>
          <t>安国</t>
        </is>
      </c>
      <c r="F27" s="8" t="inlineStr">
        <is>
          <t>河北安国</t>
        </is>
      </c>
      <c r="G27" s="10">
        <v>3.5</v>
      </c>
      <c r="H27" s="10"/>
      <c r="K27" s="9" t="inlineStr">
        <is>
          <t>中药材天地网</t>
        </is>
      </c>
      <c r="L27" s="8" t="inlineStr">
        <is>
          <t>https://www.zyctd.com/zixun/201/1104844.html</t>
        </is>
      </c>
      <c r="M27" s="8" t="inlineStr">
        <is>
          <t>河北省安国市荆芥行情与前期相差不大</t>
        </is>
      </c>
      <c r="I27" s="10">
        <f>IF(OR(G27="",H27=""),"",G27-H27)</f>
      </c>
      <c r="J27" s="11">
        <f>IF(OR(G27="",H27="",H27=0),"",(G27-H27)/H27)</f>
      </c>
    </row>
    <row r="28">
      <c r="A28" s="7" t="inlineStr">
        <is>
          <t>2026-03-11</t>
        </is>
      </c>
      <c r="B28" s="8" t="inlineStr">
        <is>
          <t>荆芥穗</t>
        </is>
      </c>
      <c r="C28" s="8" t="inlineStr">
        <is>
          <t>本地手剪穗好统货报价</t>
        </is>
      </c>
      <c r="D28" s="9" t="inlineStr">
        <is>
          <t>元/kg</t>
        </is>
      </c>
      <c r="E28" s="8" t="inlineStr">
        <is>
          <t>安国</t>
        </is>
      </c>
      <c r="F28" s="8" t="inlineStr">
        <is>
          <t>河北安国</t>
        </is>
      </c>
      <c r="G28" s="10">
        <v>55.0</v>
      </c>
      <c r="H28" s="10"/>
      <c r="K28" s="9" t="inlineStr">
        <is>
          <t>中药材天地网</t>
        </is>
      </c>
      <c r="L28" s="8" t="inlineStr">
        <is>
          <t>https://www.zyctd.com/zixun/201/1104843.html</t>
        </is>
      </c>
      <c r="M28" s="8" t="inlineStr">
        <is>
          <t>河北省安国市荆芥穗行情有所上扬</t>
        </is>
      </c>
      <c r="I28" s="10">
        <f>IF(OR(G28="",H28=""),"",G28-H28)</f>
      </c>
      <c r="J28" s="11">
        <f>IF(OR(G28="",H28="",H28=0),"",(G28-H28)/H28)</f>
      </c>
    </row>
    <row r="29">
      <c r="A29" s="7" t="inlineStr">
        <is>
          <t>2026-03-11</t>
        </is>
      </c>
      <c r="B29" s="8" t="inlineStr">
        <is>
          <t>蒲公英</t>
        </is>
      </c>
      <c r="C29" s="8" t="inlineStr">
        <is>
          <t>产地售价</t>
        </is>
      </c>
      <c r="D29" s="9" t="inlineStr">
        <is>
          <t>元/kg</t>
        </is>
      </c>
      <c r="E29" s="8" t="inlineStr">
        <is>
          <t>产地</t>
        </is>
      </c>
      <c r="F29" s="8" t="inlineStr">
        <is>
          <t>甘肃正宁</t>
        </is>
      </c>
      <c r="G29" s="10">
        <v>6.0</v>
      </c>
      <c r="H29" s="10"/>
      <c r="K29" s="9" t="inlineStr">
        <is>
          <t>中药材天地网</t>
        </is>
      </c>
      <c r="L29" s="8" t="inlineStr">
        <is>
          <t>https://www.zyctd.com/zixun/201/1104848.html</t>
        </is>
      </c>
      <c r="M29" s="8" t="inlineStr">
        <is>
          <t>甘肃省庆阳市正宁县蒲公英行情与年前基本持平</t>
        </is>
      </c>
      <c r="I29" s="10">
        <f>IF(OR(G29="",H29=""),"",G29-H29)</f>
      </c>
      <c r="J29" s="11">
        <f>IF(OR(G29="",H29="",H29=0),"",(G29-H29)/H29)</f>
      </c>
    </row>
    <row r="30">
      <c r="A30" s="7" t="inlineStr">
        <is>
          <t>2026-03-11</t>
        </is>
      </c>
      <c r="B30" s="8" t="inlineStr">
        <is>
          <t>覆盆子</t>
        </is>
      </c>
      <c r="C30" s="8" t="inlineStr">
        <is>
          <t>统货价格在</t>
        </is>
      </c>
      <c r="D30" s="9" t="inlineStr">
        <is>
          <t>元/kg</t>
        </is>
      </c>
      <c r="E30" s="8" t="inlineStr">
        <is>
          <t>浙八味市场</t>
        </is>
      </c>
      <c r="F30" s="8" t="inlineStr">
        <is>
          <t>浙江磐安</t>
        </is>
      </c>
      <c r="G30" s="10">
        <v>82.0</v>
      </c>
      <c r="H30" s="10"/>
      <c r="K30" s="9" t="inlineStr">
        <is>
          <t>中药材天地网</t>
        </is>
      </c>
      <c r="L30" s="8" t="inlineStr">
        <is>
          <t>https://www.zyctd.com/zixun/201/1104776.html</t>
        </is>
      </c>
      <c r="M30" s="8" t="inlineStr">
        <is>
          <t>浙江省金华市磐安县覆盆子货源走动一般</t>
        </is>
      </c>
      <c r="I30" s="10">
        <f>IF(OR(G30="",H30=""),"",G30-H30)</f>
      </c>
      <c r="J30" s="11">
        <f>IF(OR(G30="",H30="",H30=0),"",(G30-H30)/H30)</f>
      </c>
    </row>
    <row r="31">
      <c r="A31" s="7" t="inlineStr">
        <is>
          <t>2026-03-11</t>
        </is>
      </c>
      <c r="B31" s="8" t="inlineStr">
        <is>
          <t>赤芍</t>
        </is>
      </c>
      <c r="C31" s="8" t="inlineStr">
        <is>
          <t>本地家种赤芍报价</t>
        </is>
      </c>
      <c r="D31" s="9" t="inlineStr">
        <is>
          <t>元/kg</t>
        </is>
      </c>
      <c r="E31" s="8" t="inlineStr">
        <is>
          <t>产地</t>
        </is>
      </c>
      <c r="F31" s="8" t="inlineStr">
        <is>
          <t>内蒙古呼伦贝尔市鄂伦春旗</t>
        </is>
      </c>
      <c r="G31" s="10">
        <v>28.0</v>
      </c>
      <c r="H31" s="10"/>
      <c r="K31" s="9" t="inlineStr">
        <is>
          <t>中药材天地网</t>
        </is>
      </c>
      <c r="L31" s="8" t="inlineStr">
        <is>
          <t>https://www.zyctd.com/zixun/201/1104831.html</t>
        </is>
      </c>
      <c r="M31" s="8" t="inlineStr">
        <is>
          <t>内蒙古呼伦贝尔市鄂伦春旗赤芍行情在平稳中运行</t>
        </is>
      </c>
      <c r="I31" s="10">
        <f>IF(OR(G31="",H31=""),"",G31-H31)</f>
      </c>
      <c r="J31" s="11">
        <f>IF(OR(G31="",H31="",H31=0),"",(G31-H31)/H31)</f>
      </c>
    </row>
    <row r="32">
      <c r="A32" s="7" t="inlineStr">
        <is>
          <t>2026-03-11</t>
        </is>
      </c>
      <c r="B32" s="8" t="inlineStr">
        <is>
          <t>酸枣仁</t>
        </is>
      </c>
      <c r="C32" s="8" t="inlineStr">
        <is>
          <t>98货价格</t>
        </is>
      </c>
      <c r="D32" s="9" t="inlineStr">
        <is>
          <t>元/kg</t>
        </is>
      </c>
      <c r="E32" s="8" t="inlineStr">
        <is>
          <t>产地</t>
        </is>
      </c>
      <c r="F32" s="8" t="inlineStr">
        <is>
          <t>河北内丘</t>
        </is>
      </c>
      <c r="G32" s="10">
        <v>470.0</v>
      </c>
      <c r="H32" s="10"/>
      <c r="K32" s="9" t="inlineStr">
        <is>
          <t>中药材天地网</t>
        </is>
      </c>
      <c r="L32" s="8" t="inlineStr">
        <is>
          <t>https://www.zyctd.com/zixun/201/1104822.html</t>
        </is>
      </c>
      <c r="M32" s="8" t="inlineStr">
        <is>
          <t>河北省邢台市内丘县酸枣仁走动正常</t>
        </is>
      </c>
      <c r="I32" s="10">
        <f>IF(OR(G32="",H32=""),"",G32-H32)</f>
      </c>
      <c r="J32" s="11">
        <f>IF(OR(G32="",H32="",H32=0),"",(G32-H32)/H32)</f>
      </c>
    </row>
    <row r="33">
      <c r="A33" s="7" t="inlineStr">
        <is>
          <t>2026-03-11</t>
        </is>
      </c>
      <c r="B33" s="8" t="inlineStr">
        <is>
          <t>金银花</t>
        </is>
      </c>
      <c r="C33" s="8" t="inlineStr">
        <is>
          <t>黄白一级过色选</t>
        </is>
      </c>
      <c r="D33" s="9" t="inlineStr">
        <is>
          <t>元/kg</t>
        </is>
      </c>
      <c r="E33" s="8" t="inlineStr">
        <is>
          <t>产地</t>
        </is>
      </c>
      <c r="F33" s="8" t="inlineStr">
        <is>
          <t>山东平邑</t>
        </is>
      </c>
      <c r="G33" s="10">
        <v>95.0</v>
      </c>
      <c r="H33" s="10"/>
      <c r="K33" s="9" t="inlineStr">
        <is>
          <t>中药材天地网</t>
        </is>
      </c>
      <c r="L33" s="8" t="inlineStr">
        <is>
          <t>https://www.zyctd.com/zixun/201/1104838.html</t>
        </is>
      </c>
      <c r="M33" s="8" t="inlineStr">
        <is>
          <t>山东省临沂市平邑县金银花行情走快</t>
        </is>
      </c>
      <c r="I33" s="10">
        <f>IF(OR(G33="",H33=""),"",G33-H33)</f>
      </c>
      <c r="J33" s="11">
        <f>IF(OR(G33="",H33="",H33=0),"",(G33-H33)/H33)</f>
      </c>
    </row>
    <row r="34">
      <c r="A34" s="7" t="inlineStr">
        <is>
          <t>2026-03-11</t>
        </is>
      </c>
      <c r="B34" s="8" t="inlineStr">
        <is>
          <t>防风</t>
        </is>
      </c>
      <c r="C34" s="8" t="inlineStr">
        <is>
          <t>本地家种4年生的关防风报价</t>
        </is>
      </c>
      <c r="D34" s="9" t="inlineStr">
        <is>
          <t>元/kg</t>
        </is>
      </c>
      <c r="E34" s="8" t="inlineStr">
        <is>
          <t>产地</t>
        </is>
      </c>
      <c r="F34" s="8" t="inlineStr">
        <is>
          <t>内蒙古呼伦贝尔市鄂伦春旗</t>
        </is>
      </c>
      <c r="G34" s="10">
        <v>55.0</v>
      </c>
      <c r="H34" s="10"/>
      <c r="K34" s="9" t="inlineStr">
        <is>
          <t>中药材天地网</t>
        </is>
      </c>
      <c r="L34" s="8" t="inlineStr">
        <is>
          <t>https://www.zyctd.com/zixun/201/1104829.html</t>
        </is>
      </c>
      <c r="M34" s="8" t="inlineStr">
        <is>
          <t>内蒙古呼伦贝尔市鄂伦春旗防风有货源供应</t>
        </is>
      </c>
      <c r="I34" s="10">
        <f>IF(OR(G34="",H34=""),"",G34-H34)</f>
      </c>
      <c r="J34" s="11">
        <f>IF(OR(G34="",H34="",H34=0),"",(G34-H34)/H34)</f>
      </c>
    </row>
    <row r="35">
      <c r="A35" s="7" t="inlineStr">
        <is>
          <t>2026-03-11</t>
        </is>
      </c>
      <c r="B35" s="8" t="inlineStr">
        <is>
          <t>防风</t>
        </is>
      </c>
      <c r="C35" s="8" t="inlineStr">
        <is>
          <t>产区鲜货价格在</t>
        </is>
      </c>
      <c r="D35" s="9" t="inlineStr">
        <is>
          <t>元/kg</t>
        </is>
      </c>
      <c r="E35" s="8" t="inlineStr">
        <is>
          <t>产地</t>
        </is>
      </c>
      <c r="F35" s="8" t="inlineStr">
        <is>
          <t>河南许昌</t>
        </is>
      </c>
      <c r="G35" s="10">
        <v>3.0</v>
      </c>
      <c r="H35" s="10"/>
      <c r="K35" s="9" t="inlineStr">
        <is>
          <t>中药材天地网</t>
        </is>
      </c>
      <c r="L35" s="8" t="inlineStr">
        <is>
          <t>https://www.zyctd.com/zixun/201/1104832.html</t>
        </is>
      </c>
      <c r="M35" s="8" t="inlineStr">
        <is>
          <t>河南省许昌市禹州市防风产新继续</t>
        </is>
      </c>
      <c r="I35" s="10">
        <f>IF(OR(G35="",H35=""),"",G35-H35)</f>
      </c>
      <c r="J35" s="11">
        <f>IF(OR(G35="",H35="",H35=0),"",(G35-H35)/H35)</f>
      </c>
    </row>
    <row r="36">
      <c r="A36" s="7" t="inlineStr">
        <is>
          <t>2026-03-11</t>
        </is>
      </c>
      <c r="B36" s="8" t="inlineStr">
        <is>
          <t>香加皮</t>
        </is>
      </c>
      <c r="C36" s="8" t="inlineStr">
        <is>
          <t>产地根部统货价格为</t>
        </is>
      </c>
      <c r="D36" s="9" t="inlineStr">
        <is>
          <t>元/kg</t>
        </is>
      </c>
      <c r="E36" s="8" t="inlineStr">
        <is>
          <t>产地</t>
        </is>
      </c>
      <c r="F36" s="8" t="inlineStr">
        <is>
          <t>甘肃</t>
        </is>
      </c>
      <c r="G36" s="10">
        <v>12.0</v>
      </c>
      <c r="H36" s="10"/>
      <c r="K36" s="9" t="inlineStr">
        <is>
          <t>中药材天地网</t>
        </is>
      </c>
      <c r="L36" s="8" t="inlineStr">
        <is>
          <t>https://www.zyctd.com/zixun/201/1104850.html</t>
        </is>
      </c>
      <c r="M36" s="8" t="inlineStr">
        <is>
          <t>甘肃省庆阳地区香加皮处于平缓走动</t>
        </is>
      </c>
      <c r="I36" s="10">
        <f>IF(OR(G36="",H36=""),"",G36-H36)</f>
      </c>
      <c r="J36" s="11">
        <f>IF(OR(G36="",H36="",H36=0),"",(G36-H36)/H36)</f>
      </c>
    </row>
    <row r="37">
      <c r="A37" s="7" t="inlineStr">
        <is>
          <t>2026-03-11</t>
        </is>
      </c>
      <c r="B37" s="8" t="inlineStr">
        <is>
          <t>鹿衔草</t>
        </is>
      </c>
      <c r="C37" s="8" t="inlineStr">
        <is>
          <t>本地鹿衔草毛草报价</t>
        </is>
      </c>
      <c r="D37" s="9" t="inlineStr">
        <is>
          <t>元/kg</t>
        </is>
      </c>
      <c r="E37" s="8" t="inlineStr">
        <is>
          <t>产地</t>
        </is>
      </c>
      <c r="F37" s="8" t="inlineStr">
        <is>
          <t>内蒙古呼伦贝尔市鄂伦春旗</t>
        </is>
      </c>
      <c r="G37" s="10">
        <v>15.0</v>
      </c>
      <c r="H37" s="10"/>
      <c r="K37" s="9" t="inlineStr">
        <is>
          <t>中药材天地网</t>
        </is>
      </c>
      <c r="L37" s="8" t="inlineStr">
        <is>
          <t>https://www.zyctd.com/zixun/201/1104824.html</t>
        </is>
      </c>
      <c r="M37" s="8" t="inlineStr">
        <is>
          <t>内蒙古呼伦贝尔市鄂伦春旗鹿衔草行情与前期保持平稳</t>
        </is>
      </c>
      <c r="I37" s="10">
        <f>IF(OR(G37="",H37=""),"",G37-H37)</f>
      </c>
      <c r="J37" s="11">
        <f>IF(OR(G37="",H37="",H37=0),"",(G37-H37)/H37)</f>
      </c>
    </row>
    <row r="38">
      <c r="A38" s="7" t="inlineStr">
        <is>
          <t>2026-03-11</t>
        </is>
      </c>
      <c r="B38" s="8" t="inlineStr">
        <is>
          <t>麦冬</t>
        </is>
      </c>
      <c r="C38" s="8" t="inlineStr">
        <is>
          <t>价格相比昨日回调</t>
        </is>
      </c>
      <c r="D38" s="9" t="inlineStr">
        <is>
          <t>元/kg</t>
        </is>
      </c>
      <c r="E38" s="8" t="inlineStr">
        <is>
          <t>产地</t>
        </is>
      </c>
      <c r="F38" s="8" t="inlineStr">
        <is>
          <t>2026年3月13日 四</t>
        </is>
      </c>
      <c r="G38" s="10">
        <v>3.0</v>
      </c>
      <c r="H38" s="10"/>
      <c r="K38" s="9" t="inlineStr">
        <is>
          <t>中药材天地网</t>
        </is>
      </c>
      <c r="L38" s="8" t="inlineStr">
        <is>
          <t>https://www.zyctd.com/zixun/201/1104784.html</t>
        </is>
      </c>
      <c r="M38" s="8" t="inlineStr">
        <is>
          <t>2026年3月13日 四川三台麦冬进入大量产新阶段</t>
        </is>
      </c>
      <c r="I38" s="10">
        <f>IF(OR(G38="",H38=""),"",G38-H38)</f>
      </c>
      <c r="J38" s="11">
        <f>IF(OR(G38="",H38="",H38=0),"",(G38-H38)/H38)</f>
      </c>
    </row>
    <row r="39">
      <c r="A39" s="7" t="inlineStr">
        <is>
          <t>2026-03-11</t>
        </is>
      </c>
      <c r="B39" s="8" t="inlineStr">
        <is>
          <t>麦冬</t>
        </is>
      </c>
      <c r="C39" s="8" t="inlineStr">
        <is>
          <t>统货</t>
        </is>
      </c>
      <c r="D39" s="9" t="inlineStr">
        <is>
          <t>元/kg</t>
        </is>
      </c>
      <c r="E39" s="8" t="inlineStr">
        <is>
          <t>产地</t>
        </is>
      </c>
      <c r="F39" s="8" t="inlineStr">
        <is>
          <t>四川三台</t>
        </is>
      </c>
      <c r="G39" s="10"/>
      <c r="H39" s="10"/>
      <c r="K39" s="9" t="inlineStr">
        <is>
          <t>中药材天地网</t>
        </is>
      </c>
      <c r="L39" s="8" t="inlineStr">
        <is>
          <t>https://www.zyctd.com/zixun/201/1104781.html</t>
        </is>
      </c>
      <c r="M39" s="8" t="inlineStr">
        <is>
          <t>四川省绵阳市三台县3月13号川麦冬行情阐述</t>
        </is>
      </c>
      <c r="I39" s="10">
        <f>IF(OR(G39="",H39=""),"",G39-H39)</f>
      </c>
      <c r="J39" s="11">
        <f>IF(OR(G39="",H39="",H39=0),"",(G39-H39)/H39)</f>
      </c>
    </row>
    <row r="40">
      <c r="A40" s="7" t="inlineStr">
        <is>
          <t>2026-03-11</t>
        </is>
      </c>
      <c r="B40" s="8" t="inlineStr">
        <is>
          <t>黄柏</t>
        </is>
      </c>
      <c r="C40" s="8" t="inlineStr">
        <is>
          <t>黄柏丝价格在</t>
        </is>
      </c>
      <c r="D40" s="9" t="inlineStr">
        <is>
          <t>元/kg</t>
        </is>
      </c>
      <c r="E40" s="8" t="inlineStr">
        <is>
          <t>产地</t>
        </is>
      </c>
      <c r="F40" s="8" t="inlineStr">
        <is>
          <t>湖北恩施州鹤峰</t>
        </is>
      </c>
      <c r="G40" s="10">
        <v>65.0</v>
      </c>
      <c r="H40" s="10"/>
      <c r="K40" s="9" t="inlineStr">
        <is>
          <t>中药材天地网</t>
        </is>
      </c>
      <c r="L40" s="8" t="inlineStr">
        <is>
          <t>https://www.zyctd.com/zixun/201/1104778.html</t>
        </is>
      </c>
      <c r="M40" s="8" t="inlineStr">
        <is>
          <t>湖北省恩施州鹤峰县黄柏走动畅快</t>
        </is>
      </c>
      <c r="I40" s="10">
        <f>IF(OR(G40="",H40=""),"",G40-H40)</f>
      </c>
      <c r="J40" s="11">
        <f>IF(OR(G40="",H40="",H40=0),"",(G40-H40)/H40)</f>
      </c>
    </row>
    <row r="41">
      <c r="A41" s="7" t="inlineStr">
        <is>
          <t>2026-03-11</t>
        </is>
      </c>
      <c r="B41" s="8" t="inlineStr">
        <is>
          <t>黄连</t>
        </is>
      </c>
      <c r="C41" s="8" t="inlineStr">
        <is>
          <t>黄连片价格在</t>
        </is>
      </c>
      <c r="D41" s="9" t="inlineStr">
        <is>
          <t>元/kg</t>
        </is>
      </c>
      <c r="E41" s="8" t="inlineStr">
        <is>
          <t>产地</t>
        </is>
      </c>
      <c r="F41" s="8" t="inlineStr">
        <is>
          <t>湖北恩施州利川</t>
        </is>
      </c>
      <c r="G41" s="10">
        <v>380.0</v>
      </c>
      <c r="H41" s="10"/>
      <c r="K41" s="9" t="inlineStr">
        <is>
          <t>中药材天地网</t>
        </is>
      </c>
      <c r="L41" s="8" t="inlineStr">
        <is>
          <t>https://www.zyctd.com/zixun/201/1104780.html</t>
        </is>
      </c>
      <c r="M41" s="8" t="inlineStr">
        <is>
          <t>湖北省恩施州利川市黄连走动畅快</t>
        </is>
      </c>
      <c r="I41" s="10">
        <f>IF(OR(G41="",H41=""),"",G41-H41)</f>
      </c>
      <c r="J41" s="11">
        <f>IF(OR(G41="",H41="",H41=0),"",(G41-H41)/H41)</f>
      </c>
    </row>
    <row r="42">
      <c r="A42" s="7" t="inlineStr">
        <is>
          <t>2026-03-12</t>
        </is>
      </c>
      <c r="B42" s="8" t="inlineStr">
        <is>
          <t>丹参</t>
        </is>
      </c>
      <c r="C42" s="8" t="inlineStr">
        <is>
          <t>产地干货精品货</t>
        </is>
      </c>
      <c r="D42" s="9" t="inlineStr">
        <is>
          <t>元/kg</t>
        </is>
      </c>
      <c r="E42" s="8" t="inlineStr">
        <is>
          <t>产地</t>
        </is>
      </c>
      <c r="F42" s="8" t="inlineStr">
        <is>
          <t>山东平邑</t>
        </is>
      </c>
      <c r="G42" s="10">
        <v>16.5</v>
      </c>
      <c r="H42" s="10"/>
      <c r="K42" s="9" t="inlineStr">
        <is>
          <t>中药材天地网</t>
        </is>
      </c>
      <c r="L42" s="8" t="inlineStr">
        <is>
          <t>https://www.zyctd.com/zixun/201/1104837.html</t>
        </is>
      </c>
      <c r="M42" s="8" t="inlineStr">
        <is>
          <t>山东省临沂市平邑县丹参产地近期走货快</t>
        </is>
      </c>
      <c r="I42" s="10">
        <f>IF(OR(G42="",H42=""),"",G42-H42)</f>
      </c>
      <c r="J42" s="11">
        <f>IF(OR(G42="",H42="",H42=0),"",(G42-H42)/H42)</f>
      </c>
    </row>
    <row r="43">
      <c r="A43" s="7" t="inlineStr">
        <is>
          <t>2026-03-12</t>
        </is>
      </c>
      <c r="B43" s="8" t="inlineStr">
        <is>
          <t>丹参</t>
        </is>
      </c>
      <c r="C43" s="8" t="inlineStr">
        <is>
          <t>产区鲜货价格在</t>
        </is>
      </c>
      <c r="D43" s="9" t="inlineStr">
        <is>
          <t>元/kg</t>
        </is>
      </c>
      <c r="E43" s="8" t="inlineStr">
        <is>
          <t>产地</t>
        </is>
      </c>
      <c r="F43" s="8" t="inlineStr">
        <is>
          <t>河南许昌</t>
        </is>
      </c>
      <c r="G43" s="10">
        <v>3.0</v>
      </c>
      <c r="H43" s="10"/>
      <c r="K43" s="9" t="inlineStr">
        <is>
          <t>中药材天地网</t>
        </is>
      </c>
      <c r="L43" s="8" t="inlineStr">
        <is>
          <t>https://www.zyctd.com/zixun/201/1104833.html</t>
        </is>
      </c>
      <c r="M43" s="8" t="inlineStr">
        <is>
          <t>河南省许昌市禹州市丹参产新继续</t>
        </is>
      </c>
      <c r="I43" s="10">
        <f>IF(OR(G43="",H43=""),"",G43-H43)</f>
      </c>
      <c r="J43" s="11">
        <f>IF(OR(G43="",H43="",H43=0),"",(G43-H43)/H43)</f>
      </c>
    </row>
    <row r="44">
      <c r="A44" s="7" t="inlineStr">
        <is>
          <t>2026-03-12</t>
        </is>
      </c>
      <c r="B44" s="8" t="inlineStr">
        <is>
          <t>丹参</t>
        </is>
      </c>
      <c r="C44" s="8" t="inlineStr">
        <is>
          <t>本地所产的售价</t>
        </is>
      </c>
      <c r="D44" s="9" t="inlineStr">
        <is>
          <t>元/kg</t>
        </is>
      </c>
      <c r="E44" s="8" t="inlineStr">
        <is>
          <t>产地</t>
        </is>
      </c>
      <c r="F44" s="8" t="inlineStr">
        <is>
          <t>甘肃</t>
        </is>
      </c>
      <c r="G44" s="10">
        <v>10.0</v>
      </c>
      <c r="H44" s="10"/>
      <c r="K44" s="9" t="inlineStr">
        <is>
          <t>中药材天地网</t>
        </is>
      </c>
      <c r="L44" s="8" t="inlineStr">
        <is>
          <t>https://www.zyctd.com/zixun/201/1104845.html</t>
        </is>
      </c>
      <c r="M44" s="8" t="inlineStr">
        <is>
          <t>甘肃省庆阳地区丹参行情基本稳定</t>
        </is>
      </c>
      <c r="I44" s="10">
        <f>IF(OR(G44="",H44=""),"",G44-H44)</f>
      </c>
      <c r="J44" s="11">
        <f>IF(OR(G44="",H44="",H44=0),"",(G44-H44)/H44)</f>
      </c>
    </row>
    <row r="45">
      <c r="A45" s="7" t="inlineStr">
        <is>
          <t>2026-03-12</t>
        </is>
      </c>
      <c r="B45" s="8" t="inlineStr">
        <is>
          <t>仙鹤草</t>
        </is>
      </c>
      <c r="C45" s="8" t="inlineStr">
        <is>
          <t>片子</t>
        </is>
      </c>
      <c r="D45" s="9" t="inlineStr">
        <is>
          <t>元/kg</t>
        </is>
      </c>
      <c r="E45" s="8" t="inlineStr">
        <is>
          <t>产地</t>
        </is>
      </c>
      <c r="F45" s="8" t="inlineStr">
        <is>
          <t>河南桐柏</t>
        </is>
      </c>
      <c r="G45" s="10">
        <v>8.0</v>
      </c>
      <c r="H45" s="10"/>
      <c r="K45" s="9" t="inlineStr">
        <is>
          <t>中药材天地网</t>
        </is>
      </c>
      <c r="L45" s="8" t="inlineStr">
        <is>
          <t>https://www.zyctd.com/zixun/201/1104749.html</t>
        </is>
      </c>
      <c r="M45" s="8" t="inlineStr">
        <is>
          <t>河南省南阳市桐柏县仙鹤草价格上浮</t>
        </is>
      </c>
      <c r="I45" s="10">
        <f>IF(OR(G45="",H45=""),"",G45-H45)</f>
      </c>
      <c r="J45" s="11">
        <f>IF(OR(G45="",H45="",H45=0),"",(G45-H45)/H45)</f>
      </c>
    </row>
    <row r="46">
      <c r="A46" s="7" t="inlineStr">
        <is>
          <t>2026-03-12</t>
        </is>
      </c>
      <c r="B46" s="8" t="inlineStr">
        <is>
          <t>全蝎</t>
        </is>
      </c>
      <c r="C46" s="8" t="inlineStr">
        <is>
          <t>3到5厘米统货价格在</t>
        </is>
      </c>
      <c r="D46" s="9" t="inlineStr">
        <is>
          <t>元/kg</t>
        </is>
      </c>
      <c r="E46" s="8" t="inlineStr">
        <is>
          <t>产地</t>
        </is>
      </c>
      <c r="F46" s="8" t="inlineStr">
        <is>
          <t>河南洛阳</t>
        </is>
      </c>
      <c r="G46" s="10">
        <v>1400.0</v>
      </c>
      <c r="H46" s="10"/>
      <c r="K46" s="9" t="inlineStr">
        <is>
          <t>中药材天地网</t>
        </is>
      </c>
      <c r="L46" s="8" t="inlineStr">
        <is>
          <t>https://www.zyctd.com/zixun/201/1104751.html</t>
        </is>
      </c>
      <c r="M46" s="8" t="inlineStr">
        <is>
          <t>河南省洛阳市老城区全蝎走势平稳</t>
        </is>
      </c>
      <c r="I46" s="10">
        <f>IF(OR(G46="",H46=""),"",G46-H46)</f>
      </c>
      <c r="J46" s="11">
        <f>IF(OR(G46="",H46="",H46=0),"",(G46-H46)/H46)</f>
      </c>
    </row>
    <row r="47">
      <c r="A47" s="7" t="inlineStr">
        <is>
          <t>2026-03-12</t>
        </is>
      </c>
      <c r="B47" s="8" t="inlineStr">
        <is>
          <t>升麻</t>
        </is>
      </c>
      <c r="C47" s="8" t="inlineStr">
        <is>
          <t>坚挺，现本地光升麻报价</t>
        </is>
      </c>
      <c r="D47" s="9" t="inlineStr">
        <is>
          <t>元/kg</t>
        </is>
      </c>
      <c r="E47" s="8" t="inlineStr">
        <is>
          <t>产地</t>
        </is>
      </c>
      <c r="F47" s="8" t="inlineStr">
        <is>
          <t>内蒙古呼伦贝尔市鄂伦春旗</t>
        </is>
      </c>
      <c r="G47" s="10">
        <v>72.0</v>
      </c>
      <c r="H47" s="10"/>
      <c r="K47" s="9" t="inlineStr">
        <is>
          <t>中药材天地网</t>
        </is>
      </c>
      <c r="L47" s="8" t="inlineStr">
        <is>
          <t>https://www.zyctd.com/zixun/201/1104826.html</t>
        </is>
      </c>
      <c r="M47" s="8" t="inlineStr">
        <is>
          <t>内蒙古呼伦贝尔市鄂伦春旗升麻行情在坚挺中运行</t>
        </is>
      </c>
      <c r="I47" s="10">
        <f>IF(OR(G47="",H47=""),"",G47-H47)</f>
      </c>
      <c r="J47" s="11">
        <f>IF(OR(G47="",H47="",H47=0),"",(G47-H47)/H47)</f>
      </c>
    </row>
    <row r="48">
      <c r="A48" s="7" t="inlineStr">
        <is>
          <t>2026-03-12</t>
        </is>
      </c>
      <c r="B48" s="8" t="inlineStr">
        <is>
          <t>土大黄</t>
        </is>
      </c>
      <c r="C48" s="8" t="inlineStr">
        <is>
          <t>统货价格在</t>
        </is>
      </c>
      <c r="D48" s="9" t="inlineStr">
        <is>
          <t>元/kg</t>
        </is>
      </c>
      <c r="E48" s="8" t="inlineStr">
        <is>
          <t>产地</t>
        </is>
      </c>
      <c r="F48" s="8" t="inlineStr">
        <is>
          <t>甘肃正宁</t>
        </is>
      </c>
      <c r="G48" s="10">
        <v>5.5</v>
      </c>
      <c r="H48" s="10"/>
      <c r="K48" s="9" t="inlineStr">
        <is>
          <t>中药材天地网</t>
        </is>
      </c>
      <c r="L48" s="8" t="inlineStr">
        <is>
          <t>https://www.zyctd.com/zixun/201/1104849.html</t>
        </is>
      </c>
      <c r="M48" s="8" t="inlineStr">
        <is>
          <t>甘肃省庆阳市正宁县土大黄延续年前价格</t>
        </is>
      </c>
      <c r="I48" s="10">
        <f>IF(OR(G48="",H48=""),"",G48-H48)</f>
      </c>
      <c r="J48" s="11">
        <f>IF(OR(G48="",H48="",H48=0),"",(G48-H48)/H48)</f>
      </c>
    </row>
    <row r="49">
      <c r="A49" s="7" t="inlineStr">
        <is>
          <t>2026-03-12</t>
        </is>
      </c>
      <c r="B49" s="8" t="inlineStr">
        <is>
          <t>地黄</t>
        </is>
      </c>
      <c r="C49" s="8" t="inlineStr">
        <is>
          <t>地黄（三级）价格为</t>
        </is>
      </c>
      <c r="D49" s="9" t="inlineStr">
        <is>
          <t>元/kg</t>
        </is>
      </c>
      <c r="E49" s="8" t="inlineStr">
        <is>
          <t>产地</t>
        </is>
      </c>
      <c r="F49" s="8" t="inlineStr">
        <is>
          <t>河南武陟</t>
        </is>
      </c>
      <c r="G49" s="10">
        <v>11.0</v>
      </c>
      <c r="H49" s="10"/>
      <c r="K49" s="9" t="inlineStr">
        <is>
          <t>中药材天地网</t>
        </is>
      </c>
      <c r="L49" s="8" t="inlineStr">
        <is>
          <t>https://www.zyctd.com/zixun/201/1104820.html</t>
        </is>
      </c>
      <c r="M49" s="8" t="inlineStr">
        <is>
          <t>河南省焦作市武陟县 地黄 走势畅快</t>
        </is>
      </c>
      <c r="I49" s="10">
        <f>IF(OR(G49="",H49=""),"",G49-H49)</f>
      </c>
      <c r="J49" s="11">
        <f>IF(OR(G49="",H49="",H49=0),"",(G49-H49)/H49)</f>
      </c>
    </row>
    <row r="50">
      <c r="A50" s="7" t="inlineStr">
        <is>
          <t>2026-03-12</t>
        </is>
      </c>
      <c r="B50" s="8" t="inlineStr">
        <is>
          <t>天冬</t>
        </is>
      </c>
      <c r="C50" s="8" t="inlineStr">
        <is>
          <t>统个</t>
        </is>
      </c>
      <c r="D50" s="9" t="inlineStr">
        <is>
          <t>元/kg</t>
        </is>
      </c>
      <c r="E50" s="8" t="inlineStr">
        <is>
          <t>玉林</t>
        </is>
      </c>
      <c r="F50" s="8" t="inlineStr">
        <is>
          <t>广西玉林市福绵区近期天冬</t>
        </is>
      </c>
      <c r="G50" s="10">
        <v>48.0</v>
      </c>
      <c r="H50" s="10"/>
      <c r="K50" s="9" t="inlineStr">
        <is>
          <t>中药材天地网</t>
        </is>
      </c>
      <c r="L50" s="8" t="inlineStr">
        <is>
          <t>https://www.zyctd.com/zixun/201/1104840.html</t>
        </is>
      </c>
      <c r="M50" s="8" t="inlineStr">
        <is>
          <t>广西玉林市福绵区近期天冬走货畅快</t>
        </is>
      </c>
      <c r="I50" s="10">
        <f>IF(OR(G50="",H50=""),"",G50-H50)</f>
      </c>
      <c r="J50" s="11">
        <f>IF(OR(G50="",H50="",H50=0),"",(G50-H50)/H50)</f>
      </c>
    </row>
    <row r="51">
      <c r="A51" s="7" t="inlineStr">
        <is>
          <t>2026-03-12</t>
        </is>
      </c>
      <c r="B51" s="8" t="inlineStr">
        <is>
          <t>女贞子</t>
        </is>
      </c>
      <c r="C51" s="8" t="inlineStr">
        <is>
          <t>统货</t>
        </is>
      </c>
      <c r="D51" s="9" t="inlineStr">
        <is>
          <t>元/kg</t>
        </is>
      </c>
      <c r="E51" s="8" t="inlineStr">
        <is>
          <t>产地</t>
        </is>
      </c>
      <c r="F51" s="8" t="inlineStr">
        <is>
          <t>河南桐柏</t>
        </is>
      </c>
      <c r="G51" s="10">
        <v>1.6</v>
      </c>
      <c r="H51" s="10"/>
      <c r="K51" s="9" t="inlineStr">
        <is>
          <t>中药材天地网</t>
        </is>
      </c>
      <c r="L51" s="8" t="inlineStr">
        <is>
          <t>https://www.zyctd.com/zixun/201/1104750.html</t>
        </is>
      </c>
      <c r="M51" s="8" t="inlineStr">
        <is>
          <t>河南省南阳市桐柏县女贞子货源充足</t>
        </is>
      </c>
      <c r="I51" s="10">
        <f>IF(OR(G51="",H51=""),"",G51-H51)</f>
      </c>
      <c r="J51" s="11">
        <f>IF(OR(G51="",H51="",H51=0),"",(G51-H51)/H51)</f>
      </c>
    </row>
    <row r="52">
      <c r="A52" s="7" t="inlineStr">
        <is>
          <t>2026-03-12</t>
        </is>
      </c>
      <c r="B52" s="8" t="inlineStr">
        <is>
          <t>山麦冬</t>
        </is>
      </c>
      <c r="C52" s="8" t="inlineStr">
        <is>
          <t>近期价格在</t>
        </is>
      </c>
      <c r="D52" s="9" t="inlineStr">
        <is>
          <t>元/kg</t>
        </is>
      </c>
      <c r="E52" s="8" t="inlineStr">
        <is>
          <t>产地</t>
        </is>
      </c>
      <c r="F52" s="8" t="inlineStr">
        <is>
          <t>湖北襄阳</t>
        </is>
      </c>
      <c r="G52" s="10">
        <v>11.0</v>
      </c>
      <c r="H52" s="10"/>
      <c r="K52" s="9" t="inlineStr">
        <is>
          <t>中药材天地网</t>
        </is>
      </c>
      <c r="L52" s="8" t="inlineStr">
        <is>
          <t>https://www.zyctd.com/zixun/201/1104774.html</t>
        </is>
      </c>
      <c r="M52" s="8" t="inlineStr">
        <is>
          <t>湖北省襄阳市山麦冬产新中 价格下滑</t>
        </is>
      </c>
      <c r="I52" s="10">
        <f>IF(OR(G52="",H52=""),"",G52-H52)</f>
      </c>
      <c r="J52" s="11">
        <f>IF(OR(G52="",H52="",H52=0),"",(G52-H52)/H52)</f>
      </c>
    </row>
    <row r="53">
      <c r="A53" s="7" t="inlineStr">
        <is>
          <t>2026-03-12</t>
        </is>
      </c>
      <c r="B53" s="8" t="inlineStr">
        <is>
          <t>巴戟天</t>
        </is>
      </c>
      <c r="C53" s="8" t="inlineStr">
        <is>
          <t>统货</t>
        </is>
      </c>
      <c r="D53" s="9" t="inlineStr">
        <is>
          <t>元/kg</t>
        </is>
      </c>
      <c r="E53" s="8" t="inlineStr">
        <is>
          <t>产地</t>
        </is>
      </c>
      <c r="F53" s="8" t="inlineStr">
        <is>
          <t>广东肇庆</t>
        </is>
      </c>
      <c r="G53" s="10"/>
      <c r="H53" s="10"/>
      <c r="K53" s="9" t="inlineStr">
        <is>
          <t>中药材天地网</t>
        </is>
      </c>
      <c r="L53" s="8" t="inlineStr">
        <is>
          <t>https://www.zyctd.com/zixun/201/1104839.html</t>
        </is>
      </c>
      <c r="M53" s="8" t="inlineStr">
        <is>
          <t>广东省肇庆市高要区巴戟天鲜货开始抢时采挖</t>
        </is>
      </c>
      <c r="I53" s="10">
        <f>IF(OR(G53="",H53=""),"",G53-H53)</f>
      </c>
      <c r="J53" s="11">
        <f>IF(OR(G53="",H53="",H53=0),"",(G53-H53)/H53)</f>
      </c>
    </row>
    <row r="54">
      <c r="A54" s="7" t="inlineStr">
        <is>
          <t>2026-03-12</t>
        </is>
      </c>
      <c r="B54" s="8" t="inlineStr">
        <is>
          <t>广藿香</t>
        </is>
      </c>
      <c r="C54" s="8" t="inlineStr">
        <is>
          <t>统条价格</t>
        </is>
      </c>
      <c r="D54" s="9" t="inlineStr">
        <is>
          <t>元/kg</t>
        </is>
      </c>
      <c r="E54" s="8" t="inlineStr">
        <is>
          <t>产地</t>
        </is>
      </c>
      <c r="F54" s="8" t="inlineStr">
        <is>
          <t>广西贵港市桥圩镇广藿香行</t>
        </is>
      </c>
      <c r="G54" s="10">
        <v>7.5</v>
      </c>
      <c r="H54" s="10"/>
      <c r="K54" s="9" t="inlineStr">
        <is>
          <t>中药材天地网</t>
        </is>
      </c>
      <c r="L54" s="8" t="inlineStr">
        <is>
          <t>https://www.zyctd.com/zixun/201/1104795.html</t>
        </is>
      </c>
      <c r="M54" s="8" t="inlineStr">
        <is>
          <t>广西贵港市桥圩镇广藿香行情好于去年</t>
        </is>
      </c>
      <c r="I54" s="10">
        <f>IF(OR(G54="",H54=""),"",G54-H54)</f>
      </c>
      <c r="J54" s="11">
        <f>IF(OR(G54="",H54="",H54=0),"",(G54-H54)/H54)</f>
      </c>
    </row>
    <row r="55">
      <c r="A55" s="7" t="inlineStr">
        <is>
          <t>2026-03-12</t>
        </is>
      </c>
      <c r="B55" s="8" t="inlineStr">
        <is>
          <t>延胡索</t>
        </is>
      </c>
      <c r="C55" s="8" t="inlineStr">
        <is>
          <t>统货在</t>
        </is>
      </c>
      <c r="D55" s="9" t="inlineStr">
        <is>
          <t>元/kg</t>
        </is>
      </c>
      <c r="E55" s="8" t="inlineStr">
        <is>
          <t>浙八味市场</t>
        </is>
      </c>
      <c r="F55" s="8" t="inlineStr">
        <is>
          <t>浙江磐安</t>
        </is>
      </c>
      <c r="G55" s="10">
        <v>78.0</v>
      </c>
      <c r="H55" s="10"/>
      <c r="K55" s="9" t="inlineStr">
        <is>
          <t>中药材天地网</t>
        </is>
      </c>
      <c r="L55" s="8" t="inlineStr">
        <is>
          <t>https://www.zyctd.com/zixun/201/1104777.html</t>
        </is>
      </c>
      <c r="M55" s="8" t="inlineStr">
        <is>
          <t>浙江省金华市磐安县延胡索行情继续走稳</t>
        </is>
      </c>
      <c r="I55" s="10">
        <f>IF(OR(G55="",H55=""),"",G55-H55)</f>
      </c>
      <c r="J55" s="11">
        <f>IF(OR(G55="",H55="",H55=0),"",(G55-H55)/H55)</f>
      </c>
    </row>
    <row r="56">
      <c r="A56" s="7" t="inlineStr">
        <is>
          <t>2026-03-12</t>
        </is>
      </c>
      <c r="B56" s="8" t="inlineStr">
        <is>
          <t>板蓝根</t>
        </is>
      </c>
      <c r="C56" s="8" t="inlineStr">
        <is>
          <t>本地板蓝根统货报价</t>
        </is>
      </c>
      <c r="D56" s="9" t="inlineStr">
        <is>
          <t>元/kg</t>
        </is>
      </c>
      <c r="E56" s="8" t="inlineStr">
        <is>
          <t>产地</t>
        </is>
      </c>
      <c r="F56" s="8" t="inlineStr">
        <is>
          <t>内蒙古呼伦贝尔市鄂伦春旗</t>
        </is>
      </c>
      <c r="G56" s="10">
        <v>9.0</v>
      </c>
      <c r="H56" s="10"/>
      <c r="K56" s="9" t="inlineStr">
        <is>
          <t>中药材天地网</t>
        </is>
      </c>
      <c r="L56" s="8" t="inlineStr">
        <is>
          <t>https://www.zyctd.com/zixun/201/1104823.html</t>
        </is>
      </c>
      <c r="M56" s="8" t="inlineStr">
        <is>
          <t>内蒙古呼伦贝尔市鄂伦春旗板蓝根货源正常购销中</t>
        </is>
      </c>
      <c r="I56" s="10">
        <f>IF(OR(G56="",H56=""),"",G56-H56)</f>
      </c>
      <c r="J56" s="11">
        <f>IF(OR(G56="",H56="",H56=0),"",(G56-H56)/H56)</f>
      </c>
    </row>
    <row r="57">
      <c r="A57" s="7" t="inlineStr">
        <is>
          <t>2026-03-12</t>
        </is>
      </c>
      <c r="B57" s="8" t="inlineStr">
        <is>
          <t>柴胡</t>
        </is>
      </c>
      <c r="C57" s="8" t="inlineStr">
        <is>
          <t>本地所产的药厂货要价</t>
        </is>
      </c>
      <c r="D57" s="9" t="inlineStr">
        <is>
          <t>元/kg</t>
        </is>
      </c>
      <c r="E57" s="8" t="inlineStr">
        <is>
          <t>产地</t>
        </is>
      </c>
      <c r="F57" s="8" t="inlineStr">
        <is>
          <t>甘肃</t>
        </is>
      </c>
      <c r="G57" s="10">
        <v>58.0</v>
      </c>
      <c r="H57" s="10"/>
      <c r="K57" s="9" t="inlineStr">
        <is>
          <t>中药材天地网</t>
        </is>
      </c>
      <c r="L57" s="8" t="inlineStr">
        <is>
          <t>https://www.zyctd.com/zixun/201/1104846.html</t>
        </is>
      </c>
      <c r="M57" s="8" t="inlineStr">
        <is>
          <t>甘肃省庆阳地区柴胡行情暂时平稳</t>
        </is>
      </c>
      <c r="I57" s="10">
        <f>IF(OR(G57="",H57=""),"",G57-H57)</f>
      </c>
      <c r="J57" s="11">
        <f>IF(OR(G57="",H57="",H57=0),"",(G57-H57)/H57)</f>
      </c>
    </row>
    <row r="58">
      <c r="A58" s="7" t="inlineStr">
        <is>
          <t>2026-03-12</t>
        </is>
      </c>
      <c r="B58" s="8" t="inlineStr">
        <is>
          <t>泽泻</t>
        </is>
      </c>
      <c r="C58" s="8" t="inlineStr">
        <is>
          <t>统货</t>
        </is>
      </c>
      <c r="D58" s="9" t="inlineStr">
        <is>
          <t>元/kg</t>
        </is>
      </c>
      <c r="E58" s="8" t="inlineStr">
        <is>
          <t>产地</t>
        </is>
      </c>
      <c r="F58" s="8" t="inlineStr">
        <is>
          <t>广西贵港市桥圩镇泽泻产新</t>
        </is>
      </c>
      <c r="G58" s="10"/>
      <c r="H58" s="10"/>
      <c r="K58" s="9" t="inlineStr">
        <is>
          <t>中药材天地网</t>
        </is>
      </c>
      <c r="L58" s="8" t="inlineStr">
        <is>
          <t>https://www.zyctd.com/zixun/201/1104793.html</t>
        </is>
      </c>
      <c r="M58" s="8" t="inlineStr">
        <is>
          <t>广西贵港市桥圩镇泽泻产新上市货少</t>
        </is>
      </c>
      <c r="I58" s="10">
        <f>IF(OR(G58="",H58=""),"",G58-H58)</f>
      </c>
      <c r="J58" s="11">
        <f>IF(OR(G58="",H58="",H58=0),"",(G58-H58)/H58)</f>
      </c>
    </row>
    <row r="59">
      <c r="A59" s="7" t="inlineStr">
        <is>
          <t>2026-03-12</t>
        </is>
      </c>
      <c r="B59" s="8" t="inlineStr">
        <is>
          <t>浙贝母</t>
        </is>
      </c>
      <c r="C59" s="8" t="inlineStr">
        <is>
          <t>小片在</t>
        </is>
      </c>
      <c r="D59" s="9" t="inlineStr">
        <is>
          <t>元/kg</t>
        </is>
      </c>
      <c r="E59" s="8" t="inlineStr">
        <is>
          <t>浙八味市场</t>
        </is>
      </c>
      <c r="F59" s="8" t="inlineStr">
        <is>
          <t>浙江磐安</t>
        </is>
      </c>
      <c r="G59" s="10">
        <v>140.0</v>
      </c>
      <c r="H59" s="10"/>
      <c r="K59" s="9" t="inlineStr">
        <is>
          <t>中药材天地网</t>
        </is>
      </c>
      <c r="L59" s="8" t="inlineStr">
        <is>
          <t>https://www.zyctd.com/zixun/201/1104779.html</t>
        </is>
      </c>
      <c r="M59" s="8" t="inlineStr">
        <is>
          <t>浙江省金华市磐安县浙八味市场浙贝母表现好于上一集</t>
        </is>
      </c>
      <c r="I59" s="10">
        <f>IF(OR(G59="",H59=""),"",G59-H59)</f>
      </c>
      <c r="J59" s="11">
        <f>IF(OR(G59="",H59="",H59=0),"",(G59-H59)/H59)</f>
      </c>
    </row>
    <row r="60">
      <c r="A60" s="7" t="inlineStr">
        <is>
          <t>2026-03-12</t>
        </is>
      </c>
      <c r="B60" s="8" t="inlineStr">
        <is>
          <t>淫羊藿</t>
        </is>
      </c>
      <c r="C60" s="8" t="inlineStr">
        <is>
          <t>本地淫羊藿报价</t>
        </is>
      </c>
      <c r="D60" s="9" t="inlineStr">
        <is>
          <t>元/kg</t>
        </is>
      </c>
      <c r="E60" s="8" t="inlineStr">
        <is>
          <t>产地</t>
        </is>
      </c>
      <c r="F60" s="8" t="inlineStr">
        <is>
          <t>内蒙古呼伦贝尔市鄂伦春旗</t>
        </is>
      </c>
      <c r="G60" s="10">
        <v>85.0</v>
      </c>
      <c r="H60" s="10"/>
      <c r="K60" s="9" t="inlineStr">
        <is>
          <t>中药材天地网</t>
        </is>
      </c>
      <c r="L60" s="8" t="inlineStr">
        <is>
          <t>https://www.zyctd.com/zixun/201/1104827.html</t>
        </is>
      </c>
      <c r="M60" s="8" t="inlineStr">
        <is>
          <t>内蒙古呼伦贝尔市鄂伦春旗淫羊藿行情继续上扬</t>
        </is>
      </c>
      <c r="I60" s="10">
        <f>IF(OR(G60="",H60=""),"",G60-H60)</f>
      </c>
      <c r="J60" s="11">
        <f>IF(OR(G60="",H60="",H60=0),"",(G60-H60)/H60)</f>
      </c>
    </row>
    <row r="61">
      <c r="A61" s="7" t="inlineStr">
        <is>
          <t>2026-03-12</t>
        </is>
      </c>
      <c r="B61" s="8" t="inlineStr">
        <is>
          <t>玄参</t>
        </is>
      </c>
      <c r="C61" s="8" t="inlineStr">
        <is>
          <t>鲜货报价在</t>
        </is>
      </c>
      <c r="D61" s="9" t="inlineStr">
        <is>
          <t>元/kg</t>
        </is>
      </c>
      <c r="E61" s="8" t="inlineStr">
        <is>
          <t>产地</t>
        </is>
      </c>
      <c r="F61" s="8" t="inlineStr">
        <is>
          <t>河南许昌</t>
        </is>
      </c>
      <c r="G61" s="10">
        <v>1.0</v>
      </c>
      <c r="H61" s="10"/>
      <c r="K61" s="9" t="inlineStr">
        <is>
          <t>中药材天地网</t>
        </is>
      </c>
      <c r="L61" s="8" t="inlineStr">
        <is>
          <t>https://www.zyctd.com/zixun/201/1104834.html</t>
        </is>
      </c>
      <c r="M61" s="8" t="inlineStr">
        <is>
          <t>河南省许昌市禹州市玄参产新继续</t>
        </is>
      </c>
      <c r="I61" s="10">
        <f>IF(OR(G61="",H61=""),"",G61-H61)</f>
      </c>
      <c r="J61" s="11">
        <f>IF(OR(G61="",H61="",H61=0),"",(G61-H61)/H61)</f>
      </c>
    </row>
    <row r="62">
      <c r="A62" s="7" t="inlineStr">
        <is>
          <t>2026-03-12</t>
        </is>
      </c>
      <c r="B62" s="8" t="inlineStr">
        <is>
          <t>白鲜皮</t>
        </is>
      </c>
      <c r="C62" s="8" t="inlineStr">
        <is>
          <t>本地白鲜皮85%的货价</t>
        </is>
      </c>
      <c r="D62" s="9" t="inlineStr">
        <is>
          <t>元/kg</t>
        </is>
      </c>
      <c r="E62" s="8" t="inlineStr">
        <is>
          <t>产地</t>
        </is>
      </c>
      <c r="F62" s="8" t="inlineStr">
        <is>
          <t>内蒙古呼伦贝尔市鄂伦春旗</t>
        </is>
      </c>
      <c r="G62" s="10">
        <v>125.0</v>
      </c>
      <c r="H62" s="10"/>
      <c r="K62" s="9" t="inlineStr">
        <is>
          <t>中药材天地网</t>
        </is>
      </c>
      <c r="L62" s="8" t="inlineStr">
        <is>
          <t>https://www.zyctd.com/zixun/201/1104825.html</t>
        </is>
      </c>
      <c r="M62" s="8" t="inlineStr">
        <is>
          <t>内蒙古呼伦贝尔市鄂伦春旗白鲜皮行情平稳</t>
        </is>
      </c>
      <c r="I62" s="10">
        <f>IF(OR(G62="",H62=""),"",G62-H62)</f>
      </c>
      <c r="J62" s="11">
        <f>IF(OR(G62="",H62="",H62=0),"",(G62-H62)/H62)</f>
      </c>
    </row>
    <row r="63">
      <c r="A63" s="7" t="inlineStr">
        <is>
          <t>2026-03-12</t>
        </is>
      </c>
      <c r="B63" s="8" t="inlineStr">
        <is>
          <t>百合</t>
        </is>
      </c>
      <c r="C63" s="8" t="inlineStr">
        <is>
          <t>精选特级价格为</t>
        </is>
      </c>
      <c r="D63" s="9" t="inlineStr">
        <is>
          <t>元/kg</t>
        </is>
      </c>
      <c r="E63" s="8" t="inlineStr">
        <is>
          <t>产地</t>
        </is>
      </c>
      <c r="F63" s="8" t="inlineStr">
        <is>
          <t>湖南龙牙百合近期走货畅快</t>
        </is>
      </c>
      <c r="G63" s="10">
        <v>135.0</v>
      </c>
      <c r="H63" s="10"/>
      <c r="K63" s="9" t="inlineStr">
        <is>
          <t>中药材天地网</t>
        </is>
      </c>
      <c r="L63" s="8" t="inlineStr">
        <is>
          <t>https://www.zyctd.com/zixun/201/1104841.html</t>
        </is>
      </c>
      <c r="M63" s="8" t="inlineStr">
        <is>
          <t>湖南产地龙牙百合近期走货畅快</t>
        </is>
      </c>
      <c r="I63" s="10">
        <f>IF(OR(G63="",H63=""),"",G63-H63)</f>
      </c>
      <c r="J63" s="11">
        <f>IF(OR(G63="",H63="",H63=0),"",(G63-H63)/H63)</f>
      </c>
    </row>
    <row r="64">
      <c r="A64" s="7" t="inlineStr">
        <is>
          <t>2026-03-12</t>
        </is>
      </c>
      <c r="B64" s="8" t="inlineStr">
        <is>
          <t>穿心莲</t>
        </is>
      </c>
      <c r="C64" s="8" t="inlineStr">
        <is>
          <t>全草价格</t>
        </is>
      </c>
      <c r="D64" s="9" t="inlineStr">
        <is>
          <t>元/kg</t>
        </is>
      </c>
      <c r="E64" s="8" t="inlineStr">
        <is>
          <t>产地</t>
        </is>
      </c>
      <c r="F64" s="8" t="inlineStr">
        <is>
          <t>广西贵港市桥圩镇穿心莲行</t>
        </is>
      </c>
      <c r="G64" s="10">
        <v>4.5</v>
      </c>
      <c r="H64" s="10"/>
      <c r="K64" s="9" t="inlineStr">
        <is>
          <t>中药材天地网</t>
        </is>
      </c>
      <c r="L64" s="8" t="inlineStr">
        <is>
          <t>https://www.zyctd.com/zixun/201/1104796.html</t>
        </is>
      </c>
      <c r="M64" s="8" t="inlineStr">
        <is>
          <t>广西贵港市桥圩镇穿心莲行情保持平稳</t>
        </is>
      </c>
      <c r="I64" s="10">
        <f>IF(OR(G64="",H64=""),"",G64-H64)</f>
      </c>
      <c r="J64" s="11">
        <f>IF(OR(G64="",H64="",H64=0),"",(G64-H64)/H64)</f>
      </c>
    </row>
    <row r="65">
      <c r="A65" s="7" t="inlineStr">
        <is>
          <t>2026-03-12</t>
        </is>
      </c>
      <c r="B65" s="8" t="inlineStr">
        <is>
          <t>苍术</t>
        </is>
      </c>
      <c r="C65" s="8" t="inlineStr">
        <is>
          <t>本地家种苍术报价</t>
        </is>
      </c>
      <c r="D65" s="9" t="inlineStr">
        <is>
          <t>元/kg</t>
        </is>
      </c>
      <c r="E65" s="8" t="inlineStr">
        <is>
          <t>产地</t>
        </is>
      </c>
      <c r="F65" s="8" t="inlineStr">
        <is>
          <t>内蒙古呼伦贝尔市鄂伦春旗</t>
        </is>
      </c>
      <c r="G65" s="10">
        <v>27.0</v>
      </c>
      <c r="H65" s="10"/>
      <c r="K65" s="9" t="inlineStr">
        <is>
          <t>中药材天地网</t>
        </is>
      </c>
      <c r="L65" s="8" t="inlineStr">
        <is>
          <t>https://www.zyctd.com/zixun/201/1104830.html</t>
        </is>
      </c>
      <c r="M65" s="8" t="inlineStr">
        <is>
          <t>内蒙古呼伦贝尔市鄂伦春旗苍术行情表现坚挺</t>
        </is>
      </c>
      <c r="I65" s="10">
        <f>IF(OR(G65="",H65=""),"",G65-H65)</f>
      </c>
      <c r="J65" s="11">
        <f>IF(OR(G65="",H65="",H65=0),"",(G65-H65)/H65)</f>
      </c>
    </row>
    <row r="66">
      <c r="A66" s="7" t="inlineStr">
        <is>
          <t>2026-03-12</t>
        </is>
      </c>
      <c r="B66" s="8" t="inlineStr">
        <is>
          <t>茵陈</t>
        </is>
      </c>
      <c r="C66" s="8" t="inlineStr">
        <is>
          <t>产地统货售价</t>
        </is>
      </c>
      <c r="D66" s="9" t="inlineStr">
        <is>
          <t>元/kg</t>
        </is>
      </c>
      <c r="E66" s="8" t="inlineStr">
        <is>
          <t>产地</t>
        </is>
      </c>
      <c r="F66" s="8" t="inlineStr">
        <is>
          <t>甘肃</t>
        </is>
      </c>
      <c r="G66" s="10">
        <v>6.4</v>
      </c>
      <c r="H66" s="10"/>
      <c r="K66" s="9" t="inlineStr">
        <is>
          <t>中药材天地网</t>
        </is>
      </c>
      <c r="L66" s="8" t="inlineStr">
        <is>
          <t>https://www.zyctd.com/zixun/201/1104847.html</t>
        </is>
      </c>
      <c r="M66" s="8" t="inlineStr">
        <is>
          <t>甘肃省庆阳地区茵陈行情不温不火</t>
        </is>
      </c>
      <c r="I66" s="10">
        <f>IF(OR(G66="",H66=""),"",G66-H66)</f>
      </c>
      <c r="J66" s="11">
        <f>IF(OR(G66="",H66="",H66=0),"",(G66-H66)/H66)</f>
      </c>
    </row>
    <row r="67">
      <c r="A67" s="7" t="inlineStr">
        <is>
          <t>2026-03-12</t>
        </is>
      </c>
      <c r="B67" s="8" t="inlineStr">
        <is>
          <t>荆芥</t>
        </is>
      </c>
      <c r="C67" s="8" t="inlineStr">
        <is>
          <t>本地荆芥药厂咀子报价</t>
        </is>
      </c>
      <c r="D67" s="9" t="inlineStr">
        <is>
          <t>元/kg</t>
        </is>
      </c>
      <c r="E67" s="8" t="inlineStr">
        <is>
          <t>安国</t>
        </is>
      </c>
      <c r="F67" s="8" t="inlineStr">
        <is>
          <t>河北安国</t>
        </is>
      </c>
      <c r="G67" s="10">
        <v>3.5</v>
      </c>
      <c r="H67" s="10"/>
      <c r="K67" s="9" t="inlineStr">
        <is>
          <t>中药材天地网</t>
        </is>
      </c>
      <c r="L67" s="8" t="inlineStr">
        <is>
          <t>https://www.zyctd.com/zixun/201/1104844.html</t>
        </is>
      </c>
      <c r="M67" s="8" t="inlineStr">
        <is>
          <t>河北省安国市荆芥行情与前期相差不大</t>
        </is>
      </c>
      <c r="I67" s="10">
        <f>IF(OR(G67="",H67=""),"",G67-H67)</f>
      </c>
      <c r="J67" s="11">
        <f>IF(OR(G67="",H67="",H67=0),"",(G67-H67)/H67)</f>
      </c>
    </row>
    <row r="68">
      <c r="A68" s="7" t="inlineStr">
        <is>
          <t>2026-03-12</t>
        </is>
      </c>
      <c r="B68" s="8" t="inlineStr">
        <is>
          <t>荆芥穗</t>
        </is>
      </c>
      <c r="C68" s="8" t="inlineStr">
        <is>
          <t>本地手剪穗好统货报价</t>
        </is>
      </c>
      <c r="D68" s="9" t="inlineStr">
        <is>
          <t>元/kg</t>
        </is>
      </c>
      <c r="E68" s="8" t="inlineStr">
        <is>
          <t>安国</t>
        </is>
      </c>
      <c r="F68" s="8" t="inlineStr">
        <is>
          <t>河北安国</t>
        </is>
      </c>
      <c r="G68" s="10">
        <v>55.0</v>
      </c>
      <c r="H68" s="10"/>
      <c r="K68" s="9" t="inlineStr">
        <is>
          <t>中药材天地网</t>
        </is>
      </c>
      <c r="L68" s="8" t="inlineStr">
        <is>
          <t>https://www.zyctd.com/zixun/201/1104843.html</t>
        </is>
      </c>
      <c r="M68" s="8" t="inlineStr">
        <is>
          <t>河北省安国市荆芥穗行情有所上扬</t>
        </is>
      </c>
      <c r="I68" s="10">
        <f>IF(OR(G68="",H68=""),"",G68-H68)</f>
      </c>
      <c r="J68" s="11">
        <f>IF(OR(G68="",H68="",H68=0),"",(G68-H68)/H68)</f>
      </c>
    </row>
    <row r="69">
      <c r="A69" s="7" t="inlineStr">
        <is>
          <t>2026-03-12</t>
        </is>
      </c>
      <c r="B69" s="8" t="inlineStr">
        <is>
          <t>蒲公英</t>
        </is>
      </c>
      <c r="C69" s="8" t="inlineStr">
        <is>
          <t>产地售价</t>
        </is>
      </c>
      <c r="D69" s="9" t="inlineStr">
        <is>
          <t>元/kg</t>
        </is>
      </c>
      <c r="E69" s="8" t="inlineStr">
        <is>
          <t>产地</t>
        </is>
      </c>
      <c r="F69" s="8" t="inlineStr">
        <is>
          <t>甘肃正宁</t>
        </is>
      </c>
      <c r="G69" s="10">
        <v>6.0</v>
      </c>
      <c r="H69" s="10"/>
      <c r="K69" s="9" t="inlineStr">
        <is>
          <t>中药材天地网</t>
        </is>
      </c>
      <c r="L69" s="8" t="inlineStr">
        <is>
          <t>https://www.zyctd.com/zixun/201/1104848.html</t>
        </is>
      </c>
      <c r="M69" s="8" t="inlineStr">
        <is>
          <t>甘肃省庆阳市正宁县蒲公英行情与年前基本持平</t>
        </is>
      </c>
      <c r="I69" s="10">
        <f>IF(OR(G69="",H69=""),"",G69-H69)</f>
      </c>
      <c r="J69" s="11">
        <f>IF(OR(G69="",H69="",H69=0),"",(G69-H69)/H69)</f>
      </c>
    </row>
    <row r="70">
      <c r="A70" s="7" t="inlineStr">
        <is>
          <t>2026-03-12</t>
        </is>
      </c>
      <c r="B70" s="8" t="inlineStr">
        <is>
          <t>覆盆子</t>
        </is>
      </c>
      <c r="C70" s="8" t="inlineStr">
        <is>
          <t>统货价格在</t>
        </is>
      </c>
      <c r="D70" s="9" t="inlineStr">
        <is>
          <t>元/kg</t>
        </is>
      </c>
      <c r="E70" s="8" t="inlineStr">
        <is>
          <t>浙八味市场</t>
        </is>
      </c>
      <c r="F70" s="8" t="inlineStr">
        <is>
          <t>浙江磐安</t>
        </is>
      </c>
      <c r="G70" s="10">
        <v>82.0</v>
      </c>
      <c r="H70" s="10"/>
      <c r="K70" s="9" t="inlineStr">
        <is>
          <t>中药材天地网</t>
        </is>
      </c>
      <c r="L70" s="8" t="inlineStr">
        <is>
          <t>https://www.zyctd.com/zixun/201/1104776.html</t>
        </is>
      </c>
      <c r="M70" s="8" t="inlineStr">
        <is>
          <t>浙江省金华市磐安县覆盆子货源走动一般</t>
        </is>
      </c>
      <c r="I70" s="10">
        <f>IF(OR(G70="",H70=""),"",G70-H70)</f>
      </c>
      <c r="J70" s="11">
        <f>IF(OR(G70="",H70="",H70=0),"",(G70-H70)/H70)</f>
      </c>
    </row>
    <row r="71">
      <c r="A71" s="7" t="inlineStr">
        <is>
          <t>2026-03-12</t>
        </is>
      </c>
      <c r="B71" s="8" t="inlineStr">
        <is>
          <t>赤芍</t>
        </is>
      </c>
      <c r="C71" s="8" t="inlineStr">
        <is>
          <t>本地家种赤芍报价</t>
        </is>
      </c>
      <c r="D71" s="9" t="inlineStr">
        <is>
          <t>元/kg</t>
        </is>
      </c>
      <c r="E71" s="8" t="inlineStr">
        <is>
          <t>产地</t>
        </is>
      </c>
      <c r="F71" s="8" t="inlineStr">
        <is>
          <t>内蒙古呼伦贝尔市鄂伦春旗</t>
        </is>
      </c>
      <c r="G71" s="10">
        <v>28.0</v>
      </c>
      <c r="H71" s="10"/>
      <c r="K71" s="9" t="inlineStr">
        <is>
          <t>中药材天地网</t>
        </is>
      </c>
      <c r="L71" s="8" t="inlineStr">
        <is>
          <t>https://www.zyctd.com/zixun/201/1104831.html</t>
        </is>
      </c>
      <c r="M71" s="8" t="inlineStr">
        <is>
          <t>内蒙古呼伦贝尔市鄂伦春旗赤芍行情在平稳中运行</t>
        </is>
      </c>
      <c r="I71" s="10">
        <f>IF(OR(G71="",H71=""),"",G71-H71)</f>
      </c>
      <c r="J71" s="11">
        <f>IF(OR(G71="",H71="",H71=0),"",(G71-H71)/H71)</f>
      </c>
    </row>
    <row r="72">
      <c r="A72" s="7" t="inlineStr">
        <is>
          <t>2026-03-12</t>
        </is>
      </c>
      <c r="B72" s="8" t="inlineStr">
        <is>
          <t>酸枣仁</t>
        </is>
      </c>
      <c r="C72" s="8" t="inlineStr">
        <is>
          <t>98货价格</t>
        </is>
      </c>
      <c r="D72" s="9" t="inlineStr">
        <is>
          <t>元/kg</t>
        </is>
      </c>
      <c r="E72" s="8" t="inlineStr">
        <is>
          <t>产地</t>
        </is>
      </c>
      <c r="F72" s="8" t="inlineStr">
        <is>
          <t>河北内丘</t>
        </is>
      </c>
      <c r="G72" s="10">
        <v>470.0</v>
      </c>
      <c r="H72" s="10"/>
      <c r="K72" s="9" t="inlineStr">
        <is>
          <t>中药材天地网</t>
        </is>
      </c>
      <c r="L72" s="8" t="inlineStr">
        <is>
          <t>https://www.zyctd.com/zixun/201/1104822.html</t>
        </is>
      </c>
      <c r="M72" s="8" t="inlineStr">
        <is>
          <t>河北省邢台市内丘县酸枣仁走动正常</t>
        </is>
      </c>
      <c r="I72" s="10">
        <f>IF(OR(G72="",H72=""),"",G72-H72)</f>
      </c>
      <c r="J72" s="11">
        <f>IF(OR(G72="",H72="",H72=0),"",(G72-H72)/H72)</f>
      </c>
    </row>
    <row r="73">
      <c r="A73" s="7" t="inlineStr">
        <is>
          <t>2026-03-12</t>
        </is>
      </c>
      <c r="B73" s="8" t="inlineStr">
        <is>
          <t>金银花</t>
        </is>
      </c>
      <c r="C73" s="8" t="inlineStr">
        <is>
          <t>黄白一级过色选</t>
        </is>
      </c>
      <c r="D73" s="9" t="inlineStr">
        <is>
          <t>元/kg</t>
        </is>
      </c>
      <c r="E73" s="8" t="inlineStr">
        <is>
          <t>产地</t>
        </is>
      </c>
      <c r="F73" s="8" t="inlineStr">
        <is>
          <t>山东平邑</t>
        </is>
      </c>
      <c r="G73" s="10">
        <v>95.0</v>
      </c>
      <c r="H73" s="10"/>
      <c r="K73" s="9" t="inlineStr">
        <is>
          <t>中药材天地网</t>
        </is>
      </c>
      <c r="L73" s="8" t="inlineStr">
        <is>
          <t>https://www.zyctd.com/zixun/201/1104838.html</t>
        </is>
      </c>
      <c r="M73" s="8" t="inlineStr">
        <is>
          <t>山东省临沂市平邑县金银花行情走快</t>
        </is>
      </c>
      <c r="I73" s="10">
        <f>IF(OR(G73="",H73=""),"",G73-H73)</f>
      </c>
      <c r="J73" s="11">
        <f>IF(OR(G73="",H73="",H73=0),"",(G73-H73)/H73)</f>
      </c>
    </row>
    <row r="74">
      <c r="A74" s="7" t="inlineStr">
        <is>
          <t>2026-03-12</t>
        </is>
      </c>
      <c r="B74" s="8" t="inlineStr">
        <is>
          <t>防风</t>
        </is>
      </c>
      <c r="C74" s="8" t="inlineStr">
        <is>
          <t>本地家种4年生的关防风报价</t>
        </is>
      </c>
      <c r="D74" s="9" t="inlineStr">
        <is>
          <t>元/kg</t>
        </is>
      </c>
      <c r="E74" s="8" t="inlineStr">
        <is>
          <t>产地</t>
        </is>
      </c>
      <c r="F74" s="8" t="inlineStr">
        <is>
          <t>内蒙古呼伦贝尔市鄂伦春旗</t>
        </is>
      </c>
      <c r="G74" s="10">
        <v>55.0</v>
      </c>
      <c r="H74" s="10"/>
      <c r="K74" s="9" t="inlineStr">
        <is>
          <t>中药材天地网</t>
        </is>
      </c>
      <c r="L74" s="8" t="inlineStr">
        <is>
          <t>https://www.zyctd.com/zixun/201/1104829.html</t>
        </is>
      </c>
      <c r="M74" s="8" t="inlineStr">
        <is>
          <t>内蒙古呼伦贝尔市鄂伦春旗防风有货源供应</t>
        </is>
      </c>
      <c r="I74" s="10">
        <f>IF(OR(G74="",H74=""),"",G74-H74)</f>
      </c>
      <c r="J74" s="11">
        <f>IF(OR(G74="",H74="",H74=0),"",(G74-H74)/H74)</f>
      </c>
    </row>
    <row r="75">
      <c r="A75" s="7" t="inlineStr">
        <is>
          <t>2026-03-12</t>
        </is>
      </c>
      <c r="B75" s="8" t="inlineStr">
        <is>
          <t>防风</t>
        </is>
      </c>
      <c r="C75" s="8" t="inlineStr">
        <is>
          <t>产区鲜货价格在</t>
        </is>
      </c>
      <c r="D75" s="9" t="inlineStr">
        <is>
          <t>元/kg</t>
        </is>
      </c>
      <c r="E75" s="8" t="inlineStr">
        <is>
          <t>产地</t>
        </is>
      </c>
      <c r="F75" s="8" t="inlineStr">
        <is>
          <t>河南许昌</t>
        </is>
      </c>
      <c r="G75" s="10">
        <v>3.0</v>
      </c>
      <c r="H75" s="10"/>
      <c r="K75" s="9" t="inlineStr">
        <is>
          <t>中药材天地网</t>
        </is>
      </c>
      <c r="L75" s="8" t="inlineStr">
        <is>
          <t>https://www.zyctd.com/zixun/201/1104832.html</t>
        </is>
      </c>
      <c r="M75" s="8" t="inlineStr">
        <is>
          <t>河南省许昌市禹州市防风产新继续</t>
        </is>
      </c>
      <c r="I75" s="10">
        <f>IF(OR(G75="",H75=""),"",G75-H75)</f>
      </c>
      <c r="J75" s="11">
        <f>IF(OR(G75="",H75="",H75=0),"",(G75-H75)/H75)</f>
      </c>
    </row>
    <row r="76">
      <c r="A76" s="7" t="inlineStr">
        <is>
          <t>2026-03-12</t>
        </is>
      </c>
      <c r="B76" s="8" t="inlineStr">
        <is>
          <t>香加皮</t>
        </is>
      </c>
      <c r="C76" s="8" t="inlineStr">
        <is>
          <t>产地根部统货价格为</t>
        </is>
      </c>
      <c r="D76" s="9" t="inlineStr">
        <is>
          <t>元/kg</t>
        </is>
      </c>
      <c r="E76" s="8" t="inlineStr">
        <is>
          <t>产地</t>
        </is>
      </c>
      <c r="F76" s="8" t="inlineStr">
        <is>
          <t>甘肃</t>
        </is>
      </c>
      <c r="G76" s="10">
        <v>12.0</v>
      </c>
      <c r="H76" s="10"/>
      <c r="K76" s="9" t="inlineStr">
        <is>
          <t>中药材天地网</t>
        </is>
      </c>
      <c r="L76" s="8" t="inlineStr">
        <is>
          <t>https://www.zyctd.com/zixun/201/1104850.html</t>
        </is>
      </c>
      <c r="M76" s="8" t="inlineStr">
        <is>
          <t>甘肃省庆阳地区香加皮处于平缓走动</t>
        </is>
      </c>
      <c r="I76" s="10">
        <f>IF(OR(G76="",H76=""),"",G76-H76)</f>
      </c>
      <c r="J76" s="11">
        <f>IF(OR(G76="",H76="",H76=0),"",(G76-H76)/H76)</f>
      </c>
    </row>
    <row r="77">
      <c r="A77" s="7" t="inlineStr">
        <is>
          <t>2026-03-12</t>
        </is>
      </c>
      <c r="B77" s="8" t="inlineStr">
        <is>
          <t>鹿衔草</t>
        </is>
      </c>
      <c r="C77" s="8" t="inlineStr">
        <is>
          <t>本地鹿衔草毛草报价</t>
        </is>
      </c>
      <c r="D77" s="9" t="inlineStr">
        <is>
          <t>元/kg</t>
        </is>
      </c>
      <c r="E77" s="8" t="inlineStr">
        <is>
          <t>产地</t>
        </is>
      </c>
      <c r="F77" s="8" t="inlineStr">
        <is>
          <t>内蒙古呼伦贝尔市鄂伦春旗</t>
        </is>
      </c>
      <c r="G77" s="10">
        <v>15.0</v>
      </c>
      <c r="H77" s="10"/>
      <c r="K77" s="9" t="inlineStr">
        <is>
          <t>中药材天地网</t>
        </is>
      </c>
      <c r="L77" s="8" t="inlineStr">
        <is>
          <t>https://www.zyctd.com/zixun/201/1104824.html</t>
        </is>
      </c>
      <c r="M77" s="8" t="inlineStr">
        <is>
          <t>内蒙古呼伦贝尔市鄂伦春旗鹿衔草行情与前期保持平稳</t>
        </is>
      </c>
      <c r="I77" s="10">
        <f>IF(OR(G77="",H77=""),"",G77-H77)</f>
      </c>
      <c r="J77" s="11">
        <f>IF(OR(G77="",H77="",H77=0),"",(G77-H77)/H77)</f>
      </c>
    </row>
    <row r="78">
      <c r="A78" s="7" t="inlineStr">
        <is>
          <t>2026-03-12</t>
        </is>
      </c>
      <c r="B78" s="8" t="inlineStr">
        <is>
          <t>麦冬</t>
        </is>
      </c>
      <c r="C78" s="8" t="inlineStr">
        <is>
          <t>价格相比昨日回调</t>
        </is>
      </c>
      <c r="D78" s="9" t="inlineStr">
        <is>
          <t>元/kg</t>
        </is>
      </c>
      <c r="E78" s="8" t="inlineStr">
        <is>
          <t>产地</t>
        </is>
      </c>
      <c r="F78" s="8" t="inlineStr">
        <is>
          <t>2026年3月13日 四</t>
        </is>
      </c>
      <c r="G78" s="10">
        <v>3.0</v>
      </c>
      <c r="H78" s="10"/>
      <c r="K78" s="9" t="inlineStr">
        <is>
          <t>中药材天地网</t>
        </is>
      </c>
      <c r="L78" s="8" t="inlineStr">
        <is>
          <t>https://www.zyctd.com/zixun/201/1104784.html</t>
        </is>
      </c>
      <c r="M78" s="8" t="inlineStr">
        <is>
          <t>2026年3月13日 四川三台麦冬进入大量产新阶段</t>
        </is>
      </c>
      <c r="I78" s="10">
        <f>IF(OR(G78="",H78=""),"",G78-H78)</f>
      </c>
      <c r="J78" s="11">
        <f>IF(OR(G78="",H78="",H78=0),"",(G78-H78)/H78)</f>
      </c>
    </row>
    <row r="79">
      <c r="A79" s="7" t="inlineStr">
        <is>
          <t>2026-03-12</t>
        </is>
      </c>
      <c r="B79" s="8" t="inlineStr">
        <is>
          <t>麦冬</t>
        </is>
      </c>
      <c r="C79" s="8" t="inlineStr">
        <is>
          <t>统货</t>
        </is>
      </c>
      <c r="D79" s="9" t="inlineStr">
        <is>
          <t>元/kg</t>
        </is>
      </c>
      <c r="E79" s="8" t="inlineStr">
        <is>
          <t>产地</t>
        </is>
      </c>
      <c r="F79" s="8" t="inlineStr">
        <is>
          <t>四川三台</t>
        </is>
      </c>
      <c r="G79" s="10"/>
      <c r="H79" s="10"/>
      <c r="K79" s="9" t="inlineStr">
        <is>
          <t>中药材天地网</t>
        </is>
      </c>
      <c r="L79" s="8" t="inlineStr">
        <is>
          <t>https://www.zyctd.com/zixun/201/1104781.html</t>
        </is>
      </c>
      <c r="M79" s="8" t="inlineStr">
        <is>
          <t>四川省绵阳市三台县3月13号川麦冬行情阐述</t>
        </is>
      </c>
      <c r="I79" s="10">
        <f>IF(OR(G79="",H79=""),"",G79-H79)</f>
      </c>
      <c r="J79" s="11">
        <f>IF(OR(G79="",H79="",H79=0),"",(G79-H79)/H79)</f>
      </c>
    </row>
    <row r="80">
      <c r="A80" s="7" t="inlineStr">
        <is>
          <t>2026-03-12</t>
        </is>
      </c>
      <c r="B80" s="8" t="inlineStr">
        <is>
          <t>黄柏</t>
        </is>
      </c>
      <c r="C80" s="8" t="inlineStr">
        <is>
          <t>黄柏丝价格在</t>
        </is>
      </c>
      <c r="D80" s="9" t="inlineStr">
        <is>
          <t>元/kg</t>
        </is>
      </c>
      <c r="E80" s="8" t="inlineStr">
        <is>
          <t>产地</t>
        </is>
      </c>
      <c r="F80" s="8" t="inlineStr">
        <is>
          <t>湖北恩施州鹤峰</t>
        </is>
      </c>
      <c r="G80" s="10">
        <v>65.0</v>
      </c>
      <c r="H80" s="10"/>
      <c r="K80" s="9" t="inlineStr">
        <is>
          <t>中药材天地网</t>
        </is>
      </c>
      <c r="L80" s="8" t="inlineStr">
        <is>
          <t>https://www.zyctd.com/zixun/201/1104778.html</t>
        </is>
      </c>
      <c r="M80" s="8" t="inlineStr">
        <is>
          <t>湖北省恩施州鹤峰县黄柏走动畅快</t>
        </is>
      </c>
      <c r="I80" s="10">
        <f>IF(OR(G80="",H80=""),"",G80-H80)</f>
      </c>
      <c r="J80" s="11">
        <f>IF(OR(G80="",H80="",H80=0),"",(G80-H80)/H80)</f>
      </c>
    </row>
    <row r="81">
      <c r="A81" s="7" t="inlineStr">
        <is>
          <t>2026-03-12</t>
        </is>
      </c>
      <c r="B81" s="8" t="inlineStr">
        <is>
          <t>黄连</t>
        </is>
      </c>
      <c r="C81" s="8" t="inlineStr">
        <is>
          <t>黄连片价格在</t>
        </is>
      </c>
      <c r="D81" s="9" t="inlineStr">
        <is>
          <t>元/kg</t>
        </is>
      </c>
      <c r="E81" s="8" t="inlineStr">
        <is>
          <t>产地</t>
        </is>
      </c>
      <c r="F81" s="8" t="inlineStr">
        <is>
          <t>湖北恩施州利川</t>
        </is>
      </c>
      <c r="G81" s="10">
        <v>380.0</v>
      </c>
      <c r="H81" s="10"/>
      <c r="K81" s="9" t="inlineStr">
        <is>
          <t>中药材天地网</t>
        </is>
      </c>
      <c r="L81" s="8" t="inlineStr">
        <is>
          <t>https://www.zyctd.com/zixun/201/1104780.html</t>
        </is>
      </c>
      <c r="M81" s="8" t="inlineStr">
        <is>
          <t>湖北省恩施州利川市黄连走动畅快</t>
        </is>
      </c>
      <c r="I81" s="10">
        <f>IF(OR(G81="",H81=""),"",G81-H81)</f>
      </c>
      <c r="J81" s="11">
        <f>IF(OR(G81="",H81="",H81=0),"",(G81-H81)/H81)</f>
      </c>
    </row>
    <row r="82">
      <c r="A82" s="7" t="inlineStr">
        <is>
          <t>2026-03-12</t>
        </is>
      </c>
      <c r="B82" s="8" t="inlineStr">
        <is>
          <t>八角莲</t>
        </is>
      </c>
      <c r="C82" s="8" t="inlineStr">
        <is>
          <t>毛货价格</t>
        </is>
      </c>
      <c r="D82" s="9" t="inlineStr">
        <is>
          <t>元/kg</t>
        </is>
      </c>
      <c r="E82" s="8" t="inlineStr">
        <is>
          <t>产地</t>
        </is>
      </c>
      <c r="F82" s="8" t="inlineStr">
        <is>
          <t>甘肃平凉</t>
        </is>
      </c>
      <c r="G82" s="10">
        <v>65.0</v>
      </c>
      <c r="H82" s="10"/>
      <c r="K82" s="9" t="inlineStr">
        <is>
          <t>药通网</t>
        </is>
      </c>
      <c r="L82" s="8" t="inlineStr">
        <is>
          <t>https://www.yt1998.com/ytw/second/marketMgr/detail.jsp?acid=557138</t>
        </is>
      </c>
      <c r="M82" s="8" t="inlineStr">
        <is>
          <t>甘肃省平凉市华亭市八角莲有货源供应</t>
        </is>
      </c>
      <c r="I82" s="10">
        <f>IF(OR(G82="",H82=""),"",G82-H82)</f>
      </c>
      <c r="J82" s="11">
        <f>IF(OR(G82="",H82="",H82=0),"",(G82-H82)/H82)</f>
      </c>
    </row>
    <row r="83">
      <c r="A83" s="7" t="inlineStr">
        <is>
          <t>2026-03-12</t>
        </is>
      </c>
      <c r="B83" s="8" t="inlineStr">
        <is>
          <t>南五味子</t>
        </is>
      </c>
      <c r="C83" s="8" t="inlineStr">
        <is>
          <t>包检净货</t>
        </is>
      </c>
      <c r="D83" s="9" t="inlineStr">
        <is>
          <t>元/kg</t>
        </is>
      </c>
      <c r="E83" s="8" t="inlineStr">
        <is>
          <t>产地</t>
        </is>
      </c>
      <c r="F83" s="8" t="inlineStr">
        <is>
          <t>陕西宝鸡</t>
        </is>
      </c>
      <c r="G83" s="10">
        <v>32.0</v>
      </c>
      <c r="H83" s="10"/>
      <c r="K83" s="9" t="inlineStr">
        <is>
          <t>药通网</t>
        </is>
      </c>
      <c r="L83" s="8" t="inlineStr">
        <is>
          <t>https://www.yt1998.com/ytw/second/marketMgr/detail.jsp?acid=557135</t>
        </is>
      </c>
      <c r="M83" s="8" t="inlineStr">
        <is>
          <t>陕西省宝鸡市眉县横渠镇南五味子价稳</t>
        </is>
      </c>
      <c r="I83" s="10">
        <f>IF(OR(G83="",H83=""),"",G83-H83)</f>
      </c>
      <c r="J83" s="11">
        <f>IF(OR(G83="",H83="",H83=0),"",(G83-H83)/H83)</f>
      </c>
    </row>
    <row r="84">
      <c r="A84" s="7" t="inlineStr">
        <is>
          <t>2026-03-12</t>
        </is>
      </c>
      <c r="B84" s="8" t="inlineStr">
        <is>
          <t>吴茱萸</t>
        </is>
      </c>
      <c r="C84" s="8" t="inlineStr">
        <is>
          <t>上扬，现过风机的净货</t>
        </is>
      </c>
      <c r="D84" s="9" t="inlineStr">
        <is>
          <t>元/kg</t>
        </is>
      </c>
      <c r="E84" s="8" t="inlineStr">
        <is>
          <t>产地</t>
        </is>
      </c>
      <c r="F84" s="8" t="inlineStr">
        <is>
          <t>湖南湘潭</t>
        </is>
      </c>
      <c r="G84" s="10">
        <v>27.0</v>
      </c>
      <c r="H84" s="10"/>
      <c r="K84" s="9" t="inlineStr">
        <is>
          <t>药通网</t>
        </is>
      </c>
      <c r="L84" s="8" t="inlineStr">
        <is>
          <t>https://www.yt1998.com/ytw/second/marketMgr/detail.jsp?acid=557129</t>
        </is>
      </c>
      <c r="M84" s="8" t="inlineStr">
        <is>
          <t>湖南省湘潭市湘潭县白石镇吴茱萸价升</t>
        </is>
      </c>
      <c r="I84" s="10">
        <f>IF(OR(G84="",H84=""),"",G84-H84)</f>
      </c>
      <c r="J84" s="11">
        <f>IF(OR(G84="",H84="",H84=0),"",(G84-H84)/H84)</f>
      </c>
    </row>
    <row r="85">
      <c r="A85" s="7" t="inlineStr">
        <is>
          <t>2026-03-12</t>
        </is>
      </c>
      <c r="B85" s="8" t="inlineStr">
        <is>
          <t>壳柏子</t>
        </is>
      </c>
      <c r="C85" s="8" t="inlineStr">
        <is>
          <t>统货</t>
        </is>
      </c>
      <c r="D85" s="9" t="inlineStr">
        <is>
          <t>元/kg</t>
        </is>
      </c>
      <c r="E85" s="8" t="inlineStr">
        <is>
          <t>产地</t>
        </is>
      </c>
      <c r="F85" s="8" t="inlineStr">
        <is>
          <t>陕西蓝田曳湖镇</t>
        </is>
      </c>
      <c r="G85" s="10">
        <v>24.0</v>
      </c>
      <c r="H85" s="10"/>
      <c r="K85" s="9" t="inlineStr">
        <is>
          <t>药通网</t>
        </is>
      </c>
      <c r="L85" s="8" t="inlineStr">
        <is>
          <t>https://www.yt1998.com/ytw/second/marketMgr/detail.jsp?acid=557134</t>
        </is>
      </c>
      <c r="M85" s="8" t="inlineStr">
        <is>
          <t>陕西蓝田曳湖镇壳柏子少商寻货</t>
        </is>
      </c>
      <c r="I85" s="10">
        <f>IF(OR(G85="",H85=""),"",G85-H85)</f>
      </c>
      <c r="J85" s="11">
        <f>IF(OR(G85="",H85="",H85=0),"",(G85-H85)/H85)</f>
      </c>
    </row>
    <row r="86">
      <c r="A86" s="7" t="inlineStr">
        <is>
          <t>2026-03-12</t>
        </is>
      </c>
      <c r="B86" s="8" t="inlineStr">
        <is>
          <t>夏天无</t>
        </is>
      </c>
      <c r="C86" s="8" t="inlineStr">
        <is>
          <t>够含量货价格</t>
        </is>
      </c>
      <c r="D86" s="9" t="inlineStr">
        <is>
          <t>元/kg</t>
        </is>
      </c>
      <c r="E86" s="8" t="inlineStr">
        <is>
          <t>产地</t>
        </is>
      </c>
      <c r="F86" s="8" t="inlineStr">
        <is>
          <t>安徽阜南</t>
        </is>
      </c>
      <c r="G86" s="10">
        <v>45.0</v>
      </c>
      <c r="H86" s="10"/>
      <c r="K86" s="9" t="inlineStr">
        <is>
          <t>药通网</t>
        </is>
      </c>
      <c r="L86" s="8" t="inlineStr">
        <is>
          <t>https://www.yt1998.com/ytw/second/marketMgr/detail.jsp?acid=557139</t>
        </is>
      </c>
      <c r="M86" s="8" t="inlineStr">
        <is>
          <t>安徽省阜阳市阜南县苗集镇夏天无小批量交易为主</t>
        </is>
      </c>
      <c r="I86" s="10">
        <f>IF(OR(G86="",H86=""),"",G86-H86)</f>
      </c>
      <c r="J86" s="11">
        <f>IF(OR(G86="",H86="",H86=0),"",(G86-H86)/H86)</f>
      </c>
    </row>
    <row r="87">
      <c r="A87" s="7" t="inlineStr">
        <is>
          <t>2026-03-12</t>
        </is>
      </c>
      <c r="B87" s="8" t="inlineStr">
        <is>
          <t>岗梅根</t>
        </is>
      </c>
      <c r="C87" s="8" t="inlineStr">
        <is>
          <t>阴枝交易价</t>
        </is>
      </c>
      <c r="D87" s="9" t="inlineStr">
        <is>
          <t>元/kg</t>
        </is>
      </c>
      <c r="E87" s="8" t="inlineStr">
        <is>
          <t>产地</t>
        </is>
      </c>
      <c r="F87" s="8" t="inlineStr">
        <is>
          <t>江西黎川</t>
        </is>
      </c>
      <c r="G87" s="10">
        <v>5.3</v>
      </c>
      <c r="H87" s="10"/>
      <c r="K87" s="9" t="inlineStr">
        <is>
          <t>药通网</t>
        </is>
      </c>
      <c r="L87" s="8" t="inlineStr">
        <is>
          <t>https://www.yt1998.com/ytw/second/marketMgr/detail.jsp?acid=557124</t>
        </is>
      </c>
      <c r="M87" s="8" t="inlineStr">
        <is>
          <t>江西省抚州市黎川县岗梅根价稳</t>
        </is>
      </c>
      <c r="I87" s="10">
        <f>IF(OR(G87="",H87=""),"",G87-H87)</f>
      </c>
      <c r="J87" s="11">
        <f>IF(OR(G87="",H87="",H87=0),"",(G87-H87)/H87)</f>
      </c>
    </row>
    <row r="88">
      <c r="A88" s="7" t="inlineStr">
        <is>
          <t>2026-03-12</t>
        </is>
      </c>
      <c r="B88" s="8" t="inlineStr">
        <is>
          <t>木蝴蝶</t>
        </is>
      </c>
      <c r="C88" s="8" t="inlineStr">
        <is>
          <t>缅甸货</t>
        </is>
      </c>
      <c r="D88" s="9" t="inlineStr">
        <is>
          <t>元/kg</t>
        </is>
      </c>
      <c r="E88" s="8" t="inlineStr">
        <is>
          <t>产地</t>
        </is>
      </c>
      <c r="F88" s="8" t="inlineStr">
        <is>
          <t>云南德宏州瑞丽</t>
        </is>
      </c>
      <c r="G88" s="10">
        <v>31.0</v>
      </c>
      <c r="H88" s="10"/>
      <c r="K88" s="9" t="inlineStr">
        <is>
          <t>药通网</t>
        </is>
      </c>
      <c r="L88" s="8" t="inlineStr">
        <is>
          <t>https://www.yt1998.com/ytw/second/marketMgr/detail.jsp?acid=557149</t>
        </is>
      </c>
      <c r="M88" s="8" t="inlineStr">
        <is>
          <t>云南省德宏州瑞丽市口岸木蝴蝶按需走动</t>
        </is>
      </c>
      <c r="I88" s="10">
        <f>IF(OR(G88="",H88=""),"",G88-H88)</f>
      </c>
      <c r="J88" s="11">
        <f>IF(OR(G88="",H88="",H88=0),"",(G88-H88)/H88)</f>
      </c>
    </row>
    <row r="89">
      <c r="A89" s="7" t="inlineStr">
        <is>
          <t>2026-03-12</t>
        </is>
      </c>
      <c r="B89" s="8" t="inlineStr">
        <is>
          <t>杜仲</t>
        </is>
      </c>
      <c r="C89" s="8" t="inlineStr">
        <is>
          <t>板皮</t>
        </is>
      </c>
      <c r="D89" s="9" t="inlineStr">
        <is>
          <t>元/kg</t>
        </is>
      </c>
      <c r="E89" s="8" t="inlineStr">
        <is>
          <t>产地</t>
        </is>
      </c>
      <c r="F89" s="8" t="inlineStr">
        <is>
          <t>陕西镇坪</t>
        </is>
      </c>
      <c r="G89" s="10">
        <v>15.0</v>
      </c>
      <c r="H89" s="10"/>
      <c r="K89" s="9" t="inlineStr">
        <is>
          <t>药通网</t>
        </is>
      </c>
      <c r="L89" s="8" t="inlineStr">
        <is>
          <t>https://www.yt1998.com/ytw/second/marketMgr/detail.jsp?acid=557148</t>
        </is>
      </c>
      <c r="M89" s="8" t="inlineStr">
        <is>
          <t>陕西省安康市镇坪县钟宝镇杜仲价格波动不大</t>
        </is>
      </c>
      <c r="I89" s="10">
        <f>IF(OR(G89="",H89=""),"",G89-H89)</f>
      </c>
      <c r="J89" s="11">
        <f>IF(OR(G89="",H89="",H89=0),"",(G89-H89)/H89)</f>
      </c>
    </row>
    <row r="90">
      <c r="A90" s="7" t="inlineStr">
        <is>
          <t>2026-03-12</t>
        </is>
      </c>
      <c r="B90" s="8" t="inlineStr">
        <is>
          <t>淫羊藿根</t>
        </is>
      </c>
      <c r="C90" s="8" t="inlineStr">
        <is>
          <t>滚筒货价格</t>
        </is>
      </c>
      <c r="D90" s="9" t="inlineStr">
        <is>
          <t>元/kg</t>
        </is>
      </c>
      <c r="E90" s="8" t="inlineStr">
        <is>
          <t>产地</t>
        </is>
      </c>
      <c r="F90" s="8" t="inlineStr">
        <is>
          <t>湖北十堰</t>
        </is>
      </c>
      <c r="G90" s="10">
        <v>35.0</v>
      </c>
      <c r="H90" s="10"/>
      <c r="K90" s="9" t="inlineStr">
        <is>
          <t>药通网</t>
        </is>
      </c>
      <c r="L90" s="8" t="inlineStr">
        <is>
          <t>https://www.yt1998.com/ytw/second/marketMgr/detail.jsp?acid=557142</t>
        </is>
      </c>
      <c r="M90" s="8" t="inlineStr">
        <is>
          <t>湖北省十堰市房县淫羊藿根价格坚挺</t>
        </is>
      </c>
      <c r="I90" s="10">
        <f>IF(OR(G90="",H90=""),"",G90-H90)</f>
      </c>
      <c r="J90" s="11">
        <f>IF(OR(G90="",H90="",H90=0),"",(G90-H90)/H90)</f>
      </c>
    </row>
    <row r="91">
      <c r="A91" s="7" t="inlineStr">
        <is>
          <t>2026-03-12</t>
        </is>
      </c>
      <c r="B91" s="8" t="inlineStr">
        <is>
          <t>猪苓</t>
        </is>
      </c>
      <c r="C91" s="8" t="inlineStr">
        <is>
          <t>统货</t>
        </is>
      </c>
      <c r="D91" s="9" t="inlineStr">
        <is>
          <t>元/kg</t>
        </is>
      </c>
      <c r="E91" s="8" t="inlineStr">
        <is>
          <t>产地</t>
        </is>
      </c>
      <c r="F91" s="8" t="inlineStr">
        <is>
          <t>陕西宝鸡</t>
        </is>
      </c>
      <c r="G91" s="10">
        <v>115.0</v>
      </c>
      <c r="H91" s="10"/>
      <c r="K91" s="9" t="inlineStr">
        <is>
          <t>药通网</t>
        </is>
      </c>
      <c r="L91" s="8" t="inlineStr">
        <is>
          <t>https://www.yt1998.com/ytw/second/marketMgr/detail.jsp?acid=557137</t>
        </is>
      </c>
      <c r="M91" s="8" t="inlineStr">
        <is>
          <t>陕西省宝鸡市眉县横渠镇猪苓有商询价</t>
        </is>
      </c>
      <c r="I91" s="10">
        <f>IF(OR(G91="",H91=""),"",G91-H91)</f>
      </c>
      <c r="J91" s="11">
        <f>IF(OR(G91="",H91="",H91=0),"",(G91-H91)/H91)</f>
      </c>
    </row>
    <row r="92">
      <c r="A92" s="7" t="inlineStr">
        <is>
          <t>2026-03-12</t>
        </is>
      </c>
      <c r="B92" s="8" t="inlineStr">
        <is>
          <t>猫人参</t>
        </is>
      </c>
      <c r="C92" s="8" t="inlineStr">
        <is>
          <t>统货</t>
        </is>
      </c>
      <c r="D92" s="9" t="inlineStr">
        <is>
          <t>元/kg</t>
        </is>
      </c>
      <c r="E92" s="8" t="inlineStr">
        <is>
          <t>产地</t>
        </is>
      </c>
      <c r="F92" s="8" t="inlineStr">
        <is>
          <t>陕西镇坪</t>
        </is>
      </c>
      <c r="G92" s="10">
        <v>10.0</v>
      </c>
      <c r="H92" s="10"/>
      <c r="K92" s="9" t="inlineStr">
        <is>
          <t>药通网</t>
        </is>
      </c>
      <c r="L92" s="8" t="inlineStr">
        <is>
          <t>https://www.yt1998.com/ytw/second/marketMgr/detail.jsp?acid=557132</t>
        </is>
      </c>
      <c r="M92" s="8" t="inlineStr">
        <is>
          <t>陕西省安康市镇坪县钟宝镇猫人参走动不快</t>
        </is>
      </c>
      <c r="I92" s="10">
        <f>IF(OR(G92="",H92=""),"",G92-H92)</f>
      </c>
      <c r="J92" s="11">
        <f>IF(OR(G92="",H92="",H92=0),"",(G92-H92)/H92)</f>
      </c>
    </row>
    <row r="93">
      <c r="A93" s="7" t="inlineStr">
        <is>
          <t>2026-03-12</t>
        </is>
      </c>
      <c r="B93" s="8" t="inlineStr">
        <is>
          <t>猫爪草</t>
        </is>
      </c>
      <c r="C93" s="8" t="inlineStr">
        <is>
          <t>家种水洗货价格</t>
        </is>
      </c>
      <c r="D93" s="9" t="inlineStr">
        <is>
          <t>元/kg</t>
        </is>
      </c>
      <c r="E93" s="8" t="inlineStr">
        <is>
          <t>产地</t>
        </is>
      </c>
      <c r="F93" s="8" t="inlineStr">
        <is>
          <t>安徽阜南</t>
        </is>
      </c>
      <c r="G93" s="10">
        <v>42.0</v>
      </c>
      <c r="H93" s="10"/>
      <c r="K93" s="9" t="inlineStr">
        <is>
          <t>药通网</t>
        </is>
      </c>
      <c r="L93" s="8" t="inlineStr">
        <is>
          <t>https://www.yt1998.com/ytw/second/marketMgr/detail.jsp?acid=557147</t>
        </is>
      </c>
      <c r="M93" s="8" t="inlineStr">
        <is>
          <t>安徽省阜阳市阜南县苗集镇猫爪草行情坚挺运行</t>
        </is>
      </c>
      <c r="I93" s="10">
        <f>IF(OR(G93="",H93=""),"",G93-H93)</f>
      </c>
      <c r="J93" s="11">
        <f>IF(OR(G93="",H93="",H93=0),"",(G93-H93)/H93)</f>
      </c>
    </row>
    <row r="94">
      <c r="A94" s="7" t="inlineStr">
        <is>
          <t>2026-03-12</t>
        </is>
      </c>
      <c r="B94" s="8" t="inlineStr">
        <is>
          <t>玉竹</t>
        </is>
      </c>
      <c r="C94" s="8" t="inlineStr">
        <is>
          <t>统装片子</t>
        </is>
      </c>
      <c r="D94" s="9" t="inlineStr">
        <is>
          <t>元/kg</t>
        </is>
      </c>
      <c r="E94" s="8" t="inlineStr">
        <is>
          <t>产地</t>
        </is>
      </c>
      <c r="F94" s="8" t="inlineStr">
        <is>
          <t>湖南湘潭</t>
        </is>
      </c>
      <c r="G94" s="10">
        <v>48.0</v>
      </c>
      <c r="H94" s="10"/>
      <c r="K94" s="9" t="inlineStr">
        <is>
          <t>药通网</t>
        </is>
      </c>
      <c r="L94" s="8" t="inlineStr">
        <is>
          <t>https://www.yt1998.com/ytw/second/marketMgr/detail.jsp?acid=557128</t>
        </is>
      </c>
      <c r="M94" s="8" t="inlineStr">
        <is>
          <t>湖南省湘潭市湘潭县白石镇玉竹走动不快</t>
        </is>
      </c>
      <c r="I94" s="10">
        <f>IF(OR(G94="",H94=""),"",G94-H94)</f>
      </c>
      <c r="J94" s="11">
        <f>IF(OR(G94="",H94="",H94=0),"",(G94-H94)/H94)</f>
      </c>
    </row>
    <row r="95">
      <c r="A95" s="7" t="inlineStr">
        <is>
          <t>2026-03-12</t>
        </is>
      </c>
      <c r="B95" s="8" t="inlineStr">
        <is>
          <t>石菖蒲</t>
        </is>
      </c>
      <c r="C95" s="8" t="inlineStr">
        <is>
          <t>统装货交易价</t>
        </is>
      </c>
      <c r="D95" s="9" t="inlineStr">
        <is>
          <t>元/kg</t>
        </is>
      </c>
      <c r="E95" s="8" t="inlineStr">
        <is>
          <t>产地</t>
        </is>
      </c>
      <c r="F95" s="8" t="inlineStr">
        <is>
          <t>湖南常德</t>
        </is>
      </c>
      <c r="G95" s="10">
        <v>60.0</v>
      </c>
      <c r="H95" s="10"/>
      <c r="K95" s="9" t="inlineStr">
        <is>
          <t>药通网</t>
        </is>
      </c>
      <c r="L95" s="8" t="inlineStr">
        <is>
          <t>https://www.yt1998.com/ytw/second/marketMgr/detail.jsp?acid=557127</t>
        </is>
      </c>
      <c r="M95" s="8" t="inlineStr">
        <is>
          <t>湖南省常德市澧县石菖蒲走动转畅</t>
        </is>
      </c>
      <c r="I95" s="10">
        <f>IF(OR(G95="",H95=""),"",G95-H95)</f>
      </c>
      <c r="J95" s="11">
        <f>IF(OR(G95="",H95="",H95=0),"",(G95-H95)/H95)</f>
      </c>
    </row>
    <row r="96">
      <c r="A96" s="7" t="inlineStr">
        <is>
          <t>2026-03-12</t>
        </is>
      </c>
      <c r="B96" s="8" t="inlineStr">
        <is>
          <t>草果</t>
        </is>
      </c>
      <c r="C96" s="8" t="inlineStr">
        <is>
          <t>统货售价</t>
        </is>
      </c>
      <c r="D96" s="9" t="inlineStr">
        <is>
          <t>元/kg</t>
        </is>
      </c>
      <c r="E96" s="8" t="inlineStr">
        <is>
          <t>产地</t>
        </is>
      </c>
      <c r="F96" s="8" t="inlineStr">
        <is>
          <t>云南腾冲</t>
        </is>
      </c>
      <c r="G96" s="10">
        <v>44.0</v>
      </c>
      <c r="H96" s="10"/>
      <c r="K96" s="9" t="inlineStr">
        <is>
          <t>药通网</t>
        </is>
      </c>
      <c r="L96" s="8" t="inlineStr">
        <is>
          <t>https://www.yt1998.com/ytw/second/marketMgr/detail.jsp?acid=557146</t>
        </is>
      </c>
      <c r="M96" s="8" t="inlineStr">
        <is>
          <t>云南省保山市腾冲县草果零星交易</t>
        </is>
      </c>
      <c r="I96" s="10">
        <f>IF(OR(G96="",H96=""),"",G96-H96)</f>
      </c>
      <c r="J96" s="11">
        <f>IF(OR(G96="",H96="",H96=0),"",(G96-H96)/H96)</f>
      </c>
    </row>
    <row r="97">
      <c r="A97" s="7" t="inlineStr">
        <is>
          <t>2026-03-12</t>
        </is>
      </c>
      <c r="B97" s="8" t="inlineStr">
        <is>
          <t>荷叶</t>
        </is>
      </c>
      <c r="C97" s="8" t="inlineStr">
        <is>
          <t>可切片的优质货</t>
        </is>
      </c>
      <c r="D97" s="9" t="inlineStr">
        <is>
          <t>元/kg</t>
        </is>
      </c>
      <c r="E97" s="8" t="inlineStr">
        <is>
          <t>产地</t>
        </is>
      </c>
      <c r="F97" s="8" t="inlineStr">
        <is>
          <t>江西黎川</t>
        </is>
      </c>
      <c r="G97" s="10">
        <v>9.5</v>
      </c>
      <c r="H97" s="10"/>
      <c r="K97" s="9" t="inlineStr">
        <is>
          <t>药通网</t>
        </is>
      </c>
      <c r="L97" s="8" t="inlineStr">
        <is>
          <t>https://www.yt1998.com/ytw/second/marketMgr/detail.jsp?acid=557123</t>
        </is>
      </c>
      <c r="M97" s="8" t="inlineStr">
        <is>
          <t>江西省抚州市黎川县荷叶走动不快</t>
        </is>
      </c>
      <c r="I97" s="10">
        <f>IF(OR(G97="",H97=""),"",G97-H97)</f>
      </c>
      <c r="J97" s="11">
        <f>IF(OR(G97="",H97="",H97=0),"",(G97-H97)/H97)</f>
      </c>
    </row>
    <row r="98">
      <c r="A98" s="7" t="inlineStr">
        <is>
          <t>2026-03-12</t>
        </is>
      </c>
      <c r="B98" s="8" t="inlineStr">
        <is>
          <t>莲子</t>
        </is>
      </c>
      <c r="C98" s="8" t="inlineStr">
        <is>
          <t>石莲子</t>
        </is>
      </c>
      <c r="D98" s="9" t="inlineStr">
        <is>
          <t>元/kg</t>
        </is>
      </c>
      <c r="E98" s="8" t="inlineStr">
        <is>
          <t>产地</t>
        </is>
      </c>
      <c r="F98" s="8" t="inlineStr">
        <is>
          <t>湖南湘潭</t>
        </is>
      </c>
      <c r="G98" s="10">
        <v>18.0</v>
      </c>
      <c r="H98" s="10"/>
      <c r="K98" s="9" t="inlineStr">
        <is>
          <t>药通网</t>
        </is>
      </c>
      <c r="L98" s="8" t="inlineStr">
        <is>
          <t>https://www.yt1998.com/ytw/second/marketMgr/detail.jsp?acid=557126</t>
        </is>
      </c>
      <c r="M98" s="8" t="inlineStr">
        <is>
          <t>湖南省湘潭县花石镇莲子价稳</t>
        </is>
      </c>
      <c r="I98" s="10">
        <f>IF(OR(G98="",H98=""),"",G98-H98)</f>
      </c>
      <c r="J98" s="11">
        <f>IF(OR(G98="",H98="",H98=0),"",(G98-H98)/H98)</f>
      </c>
    </row>
    <row r="99">
      <c r="A99" s="7" t="inlineStr">
        <is>
          <t>2026-03-12</t>
        </is>
      </c>
      <c r="B99" s="8" t="inlineStr">
        <is>
          <t>莲子心</t>
        </is>
      </c>
      <c r="C99" s="8" t="inlineStr">
        <is>
          <t>统装货价格</t>
        </is>
      </c>
      <c r="D99" s="9" t="inlineStr">
        <is>
          <t>元/kg</t>
        </is>
      </c>
      <c r="E99" s="8" t="inlineStr">
        <is>
          <t>产地</t>
        </is>
      </c>
      <c r="F99" s="8" t="inlineStr">
        <is>
          <t>湖南湘潭</t>
        </is>
      </c>
      <c r="G99" s="10">
        <v>72.0</v>
      </c>
      <c r="H99" s="10"/>
      <c r="K99" s="9" t="inlineStr">
        <is>
          <t>药通网</t>
        </is>
      </c>
      <c r="L99" s="8" t="inlineStr">
        <is>
          <t>https://www.yt1998.com/ytw/second/marketMgr/detail.jsp?acid=557125</t>
        </is>
      </c>
      <c r="M99" s="8" t="inlineStr">
        <is>
          <t>湖南省湘潭县花石镇莲子心走动不快</t>
        </is>
      </c>
      <c r="I99" s="10">
        <f>IF(OR(G99="",H99=""),"",G99-H99)</f>
      </c>
      <c r="J99" s="11">
        <f>IF(OR(G99="",H99="",H99=0),"",(G99-H99)/H99)</f>
      </c>
    </row>
    <row r="100">
      <c r="A100" s="7" t="inlineStr">
        <is>
          <t>2026-03-12</t>
        </is>
      </c>
      <c r="B100" s="8" t="inlineStr">
        <is>
          <t>虎杖</t>
        </is>
      </c>
      <c r="C100" s="8" t="inlineStr">
        <is>
          <t>段野生货价格</t>
        </is>
      </c>
      <c r="D100" s="9" t="inlineStr">
        <is>
          <t>元/kg</t>
        </is>
      </c>
      <c r="E100" s="8" t="inlineStr">
        <is>
          <t>产地</t>
        </is>
      </c>
      <c r="F100" s="8" t="inlineStr">
        <is>
          <t>湖北十堰</t>
        </is>
      </c>
      <c r="G100" s="10">
        <v>5.2</v>
      </c>
      <c r="H100" s="10"/>
      <c r="K100" s="9" t="inlineStr">
        <is>
          <t>药通网</t>
        </is>
      </c>
      <c r="L100" s="8" t="inlineStr">
        <is>
          <t>https://www.yt1998.com/ytw/second/marketMgr/detail.jsp?acid=557143</t>
        </is>
      </c>
      <c r="M100" s="8" t="inlineStr">
        <is>
          <t>湖北省十堰市房县虎杖正常走销</t>
        </is>
      </c>
      <c r="I100" s="10">
        <f>IF(OR(G100="",H100=""),"",G100-H100)</f>
      </c>
      <c r="J100" s="11">
        <f>IF(OR(G100="",H100="",H100=0),"",(G100-H100)/H100)</f>
      </c>
    </row>
    <row r="101">
      <c r="A101" s="7" t="inlineStr">
        <is>
          <t>2026-03-12</t>
        </is>
      </c>
      <c r="B101" s="8" t="inlineStr">
        <is>
          <t>蝉蜕</t>
        </is>
      </c>
      <c r="C101" s="8" t="inlineStr">
        <is>
          <t>上扬，现半沙半淤大壳药厂货</t>
        </is>
      </c>
      <c r="D101" s="9" t="inlineStr">
        <is>
          <t>元/kg</t>
        </is>
      </c>
      <c r="E101" s="8" t="inlineStr">
        <is>
          <t>产地</t>
        </is>
      </c>
      <c r="F101" s="8" t="inlineStr">
        <is>
          <t>陕西宝鸡</t>
        </is>
      </c>
      <c r="G101" s="10">
        <v>630.0</v>
      </c>
      <c r="H101" s="10"/>
      <c r="K101" s="9" t="inlineStr">
        <is>
          <t>药通网</t>
        </is>
      </c>
      <c r="L101" s="8" t="inlineStr">
        <is>
          <t>https://www.yt1998.com/ytw/second/marketMgr/detail.jsp?acid=557136</t>
        </is>
      </c>
      <c r="M101" s="8" t="inlineStr">
        <is>
          <t>陕西省宝鸡市眉县横渠镇蝉蜕走动顺畅</t>
        </is>
      </c>
      <c r="I101" s="10">
        <f>IF(OR(G101="",H101=""),"",G101-H101)</f>
      </c>
      <c r="J101" s="11">
        <f>IF(OR(G101="",H101="",H101=0),"",(G101-H101)/H101)</f>
      </c>
    </row>
    <row r="102">
      <c r="A102" s="7" t="inlineStr">
        <is>
          <t>2026-03-12</t>
        </is>
      </c>
      <c r="B102" s="8" t="inlineStr">
        <is>
          <t>补骨脂</t>
        </is>
      </c>
      <c r="C102" s="8" t="inlineStr">
        <is>
          <t>新品统货价格</t>
        </is>
      </c>
      <c r="D102" s="9" t="inlineStr">
        <is>
          <t>元/kg</t>
        </is>
      </c>
      <c r="E102" s="8" t="inlineStr">
        <is>
          <t>产地</t>
        </is>
      </c>
      <c r="F102" s="8" t="inlineStr">
        <is>
          <t>云南德宏州瑞丽</t>
        </is>
      </c>
      <c r="G102" s="10">
        <v>10.0</v>
      </c>
      <c r="H102" s="10"/>
      <c r="K102" s="9" t="inlineStr">
        <is>
          <t>药通网</t>
        </is>
      </c>
      <c r="L102" s="8" t="inlineStr">
        <is>
          <t>https://www.yt1998.com/ytw/second/marketMgr/detail.jsp?acid=557150</t>
        </is>
      </c>
      <c r="M102" s="8" t="inlineStr">
        <is>
          <t>云南省德宏州瑞丽市口岸补骨脂新品来货</t>
        </is>
      </c>
      <c r="I102" s="10">
        <f>IF(OR(G102="",H102=""),"",G102-H102)</f>
      </c>
      <c r="J102" s="11">
        <f>IF(OR(G102="",H102="",H102=0),"",(G102-H102)/H102)</f>
      </c>
    </row>
    <row r="103">
      <c r="A103" s="7" t="inlineStr">
        <is>
          <t>2026-03-12</t>
        </is>
      </c>
      <c r="B103" s="8" t="inlineStr">
        <is>
          <t>赤芍</t>
        </is>
      </c>
      <c r="C103" s="8" t="inlineStr">
        <is>
          <t>统货售价</t>
        </is>
      </c>
      <c r="D103" s="9" t="inlineStr">
        <is>
          <t>元/kg</t>
        </is>
      </c>
      <c r="E103" s="8" t="inlineStr">
        <is>
          <t>产地</t>
        </is>
      </c>
      <c r="F103" s="8" t="inlineStr">
        <is>
          <t>甘肃平凉</t>
        </is>
      </c>
      <c r="G103" s="10">
        <v>30.0</v>
      </c>
      <c r="H103" s="10"/>
      <c r="K103" s="9" t="inlineStr">
        <is>
          <t>药通网</t>
        </is>
      </c>
      <c r="L103" s="8" t="inlineStr">
        <is>
          <t>https://www.yt1998.com/ytw/second/marketMgr/detail.jsp?acid=557140</t>
        </is>
      </c>
      <c r="M103" s="8" t="inlineStr">
        <is>
          <t>甘肃省平凉市华亭市赤芍走动缓慢</t>
        </is>
      </c>
      <c r="I103" s="10">
        <f>IF(OR(G103="",H103=""),"",G103-H103)</f>
      </c>
      <c r="J103" s="11">
        <f>IF(OR(G103="",H103="",H103=0),"",(G103-H103)/H103)</f>
      </c>
    </row>
    <row r="104">
      <c r="A104" s="7" t="inlineStr">
        <is>
          <t>2026-03-12</t>
        </is>
      </c>
      <c r="B104" s="8" t="inlineStr">
        <is>
          <t>路路通</t>
        </is>
      </c>
      <c r="C104" s="8" t="inlineStr">
        <is>
          <t>去柄货价格</t>
        </is>
      </c>
      <c r="D104" s="9" t="inlineStr">
        <is>
          <t>元/kg</t>
        </is>
      </c>
      <c r="E104" s="8" t="inlineStr">
        <is>
          <t>产地</t>
        </is>
      </c>
      <c r="F104" s="8" t="inlineStr">
        <is>
          <t>湖北英山</t>
        </is>
      </c>
      <c r="G104" s="10">
        <v>3.5</v>
      </c>
      <c r="H104" s="10"/>
      <c r="K104" s="9" t="inlineStr">
        <is>
          <t>药通网</t>
        </is>
      </c>
      <c r="L104" s="8" t="inlineStr">
        <is>
          <t>https://www.yt1998.com/ytw/second/marketMgr/detail.jsp?acid=557141</t>
        </is>
      </c>
      <c r="M104" s="8" t="inlineStr">
        <is>
          <t>湖北省黄冈市英山县石头咀镇路路通开始产新</t>
        </is>
      </c>
      <c r="I104" s="10">
        <f>IF(OR(G104="",H104=""),"",G104-H104)</f>
      </c>
      <c r="J104" s="11">
        <f>IF(OR(G104="",H104="",H104=0),"",(G104-H104)/H104)</f>
      </c>
    </row>
    <row r="105">
      <c r="A105" s="7" t="inlineStr">
        <is>
          <t>2026-03-12</t>
        </is>
      </c>
      <c r="B105" s="8" t="inlineStr">
        <is>
          <t>连翘</t>
        </is>
      </c>
      <c r="C105" s="8" t="inlineStr">
        <is>
          <t>挥发油合格货</t>
        </is>
      </c>
      <c r="D105" s="9" t="inlineStr">
        <is>
          <t>元/kg</t>
        </is>
      </c>
      <c r="E105" s="8" t="inlineStr">
        <is>
          <t>产地</t>
        </is>
      </c>
      <c r="F105" s="8" t="inlineStr">
        <is>
          <t>山西晋城市陵川县</t>
        </is>
      </c>
      <c r="G105" s="10">
        <v>43.0</v>
      </c>
      <c r="H105" s="10"/>
      <c r="K105" s="9" t="inlineStr">
        <is>
          <t>药通网</t>
        </is>
      </c>
      <c r="L105" s="8" t="inlineStr">
        <is>
          <t>https://www.yt1998.com/ytw/second/marketMgr/detail.jsp?acid=557121</t>
        </is>
      </c>
      <c r="M105" s="8" t="inlineStr">
        <is>
          <t>山西晋城市陵川县连翘走动顺畅</t>
        </is>
      </c>
      <c r="I105" s="10">
        <f>IF(OR(G105="",H105=""),"",G105-H105)</f>
      </c>
      <c r="J105" s="11">
        <f>IF(OR(G105="",H105="",H105=0),"",(G105-H105)/H105)</f>
      </c>
    </row>
    <row r="106">
      <c r="A106" s="7" t="inlineStr">
        <is>
          <t>2026-03-12</t>
        </is>
      </c>
      <c r="B106" s="8" t="inlineStr">
        <is>
          <t>重楼</t>
        </is>
      </c>
      <c r="C106" s="8" t="inlineStr">
        <is>
          <t>多芽统货价格</t>
        </is>
      </c>
      <c r="D106" s="9" t="inlineStr">
        <is>
          <t>元/kg</t>
        </is>
      </c>
      <c r="E106" s="8" t="inlineStr">
        <is>
          <t>产地</t>
        </is>
      </c>
      <c r="F106" s="8" t="inlineStr">
        <is>
          <t>云南腾冲</t>
        </is>
      </c>
      <c r="G106" s="10">
        <v>40.0</v>
      </c>
      <c r="H106" s="10"/>
      <c r="K106" s="9" t="inlineStr">
        <is>
          <t>药通网</t>
        </is>
      </c>
      <c r="L106" s="8" t="inlineStr">
        <is>
          <t>https://www.yt1998.com/ytw/second/marketMgr/detail.jsp?acid=557145</t>
        </is>
      </c>
      <c r="M106" s="8" t="inlineStr">
        <is>
          <t>云南省保山市腾冲县重楼寻货商家较少</t>
        </is>
      </c>
      <c r="I106" s="10">
        <f>IF(OR(G106="",H106=""),"",G106-H106)</f>
      </c>
      <c r="J106" s="11">
        <f>IF(OR(G106="",H106="",H106=0),"",(G106-H106)/H106)</f>
      </c>
    </row>
    <row r="107">
      <c r="A107" s="7" t="inlineStr">
        <is>
          <t>2026-03-12</t>
        </is>
      </c>
      <c r="B107" s="8" t="inlineStr">
        <is>
          <t>野菊花</t>
        </is>
      </c>
      <c r="C107" s="8" t="inlineStr">
        <is>
          <t>90以上颗粒货</t>
        </is>
      </c>
      <c r="D107" s="9" t="inlineStr">
        <is>
          <t>元/kg</t>
        </is>
      </c>
      <c r="E107" s="8" t="inlineStr">
        <is>
          <t>产地</t>
        </is>
      </c>
      <c r="F107" s="8" t="inlineStr">
        <is>
          <t>陕西蓝田曳湖镇</t>
        </is>
      </c>
      <c r="G107" s="10">
        <v>32.0</v>
      </c>
      <c r="H107" s="10"/>
      <c r="K107" s="9" t="inlineStr">
        <is>
          <t>药通网</t>
        </is>
      </c>
      <c r="L107" s="8" t="inlineStr">
        <is>
          <t>https://www.yt1998.com/ytw/second/marketMgr/detail.jsp?acid=557120</t>
        </is>
      </c>
      <c r="M107" s="8" t="inlineStr">
        <is>
          <t>陕西蓝田曳湖镇野菊花走动不快</t>
        </is>
      </c>
      <c r="I107" s="10">
        <f>IF(OR(G107="",H107=""),"",G107-H107)</f>
      </c>
      <c r="J107" s="11">
        <f>IF(OR(G107="",H107="",H107=0),"",(G107-H107)/H107)</f>
      </c>
    </row>
    <row r="108">
      <c r="A108" s="7" t="inlineStr">
        <is>
          <t>2026-03-12</t>
        </is>
      </c>
      <c r="B108" s="8" t="inlineStr">
        <is>
          <t>骨碎补</t>
        </is>
      </c>
      <c r="C108" s="8" t="inlineStr">
        <is>
          <t>统装货交易价</t>
        </is>
      </c>
      <c r="D108" s="9" t="inlineStr">
        <is>
          <t>元/kg</t>
        </is>
      </c>
      <c r="E108" s="8" t="inlineStr">
        <is>
          <t>产地</t>
        </is>
      </c>
      <c r="F108" s="8" t="inlineStr">
        <is>
          <t>江西黎川</t>
        </is>
      </c>
      <c r="G108" s="10">
        <v>49.0</v>
      </c>
      <c r="H108" s="10"/>
      <c r="K108" s="9" t="inlineStr">
        <is>
          <t>药通网</t>
        </is>
      </c>
      <c r="L108" s="8" t="inlineStr">
        <is>
          <t>https://www.yt1998.com/ytw/second/marketMgr/detail.jsp?acid=557122</t>
        </is>
      </c>
      <c r="M108" s="8" t="inlineStr">
        <is>
          <t>江西省抚州市黎川县骨碎补价稳</t>
        </is>
      </c>
      <c r="I108" s="10">
        <f>IF(OR(G108="",H108=""),"",G108-H108)</f>
      </c>
      <c r="J108" s="11">
        <f>IF(OR(G108="",H108="",H108=0),"",(G108-H108)/H108)</f>
      </c>
    </row>
    <row r="109">
      <c r="A109" s="7" t="inlineStr">
        <is>
          <t>2026-03-12</t>
        </is>
      </c>
      <c r="B109" s="8" t="inlineStr">
        <is>
          <t>鱼腥草</t>
        </is>
      </c>
      <c r="C109" s="8" t="inlineStr">
        <is>
          <t>统货</t>
        </is>
      </c>
      <c r="D109" s="9" t="inlineStr">
        <is>
          <t>元/kg</t>
        </is>
      </c>
      <c r="E109" s="8" t="inlineStr">
        <is>
          <t>产地</t>
        </is>
      </c>
      <c r="F109" s="8" t="inlineStr">
        <is>
          <t>陕西镇坪</t>
        </is>
      </c>
      <c r="G109" s="10">
        <v>5.0</v>
      </c>
      <c r="H109" s="10"/>
      <c r="K109" s="9" t="inlineStr">
        <is>
          <t>药通网</t>
        </is>
      </c>
      <c r="L109" s="8" t="inlineStr">
        <is>
          <t>https://www.yt1998.com/ytw/second/marketMgr/detail.jsp?acid=557133</t>
        </is>
      </c>
      <c r="M109" s="8" t="inlineStr">
        <is>
          <t>陕西省安康市镇坪县钟宝镇鱼腥草成交量少</t>
        </is>
      </c>
      <c r="I109" s="10">
        <f>IF(OR(G109="",H109=""),"",G109-H109)</f>
      </c>
      <c r="J109" s="11">
        <f>IF(OR(G109="",H109="",H109=0),"",(G109-H109)/H109)</f>
      </c>
    </row>
    <row r="110">
      <c r="A110" s="7" t="inlineStr">
        <is>
          <t>2026-03-12</t>
        </is>
      </c>
      <c r="B110" s="8" t="inlineStr">
        <is>
          <t>黄柏</t>
        </is>
      </c>
      <c r="C110" s="8" t="inlineStr">
        <is>
          <t>带皮个子</t>
        </is>
      </c>
      <c r="D110" s="9" t="inlineStr">
        <is>
          <t>元/kg</t>
        </is>
      </c>
      <c r="E110" s="8" t="inlineStr">
        <is>
          <t>产地</t>
        </is>
      </c>
      <c r="F110" s="8" t="inlineStr">
        <is>
          <t>湖北十堰</t>
        </is>
      </c>
      <c r="G110" s="10">
        <v>30.0</v>
      </c>
      <c r="H110" s="10"/>
      <c r="K110" s="9" t="inlineStr">
        <is>
          <t>药通网</t>
        </is>
      </c>
      <c r="L110" s="8" t="inlineStr">
        <is>
          <t>https://www.yt1998.com/ytw/second/marketMgr/detail.jsp?acid=557144</t>
        </is>
      </c>
      <c r="M110" s="8" t="inlineStr">
        <is>
          <t>湖北省十堰市房县黄柏走动不畅</t>
        </is>
      </c>
      <c r="I110" s="10">
        <f>IF(OR(G110="",H110=""),"",G110-H110)</f>
      </c>
      <c r="J110" s="11">
        <f>IF(OR(G110="",H110="",H110=0),"",(G110-H110)/H110)</f>
      </c>
    </row>
    <row r="111">
      <c r="A111" s="7" t="inlineStr">
        <is>
          <t>2026-03-12</t>
        </is>
      </c>
      <c r="B111" s="8" t="inlineStr">
        <is>
          <t>黄精</t>
        </is>
      </c>
      <c r="C111" s="8" t="inlineStr">
        <is>
          <t>药厂货</t>
        </is>
      </c>
      <c r="D111" s="9" t="inlineStr">
        <is>
          <t>元/kg</t>
        </is>
      </c>
      <c r="E111" s="8" t="inlineStr">
        <is>
          <t>产地</t>
        </is>
      </c>
      <c r="F111" s="8" t="inlineStr">
        <is>
          <t>贵州黔南州瓮安</t>
        </is>
      </c>
      <c r="G111" s="10">
        <v>38.0</v>
      </c>
      <c r="H111" s="10"/>
      <c r="K111" s="9" t="inlineStr">
        <is>
          <t>药通网</t>
        </is>
      </c>
      <c r="L111" s="8" t="inlineStr">
        <is>
          <t>https://www.yt1998.com/ytw/second/marketMgr/detail.jsp?acid=557130</t>
        </is>
      </c>
      <c r="M111" s="8" t="inlineStr">
        <is>
          <t>贵州省黔南州瓮安县黄精价稳</t>
        </is>
      </c>
      <c r="I111" s="10">
        <f>IF(OR(G111="",H111=""),"",G111-H111)</f>
      </c>
      <c r="J111" s="11">
        <f>IF(OR(G111="",H111="",H111=0),"",(G111-H111)/H111)</f>
      </c>
    </row>
    <row r="112">
      <c r="A112" s="7" t="inlineStr">
        <is>
          <t>2026-03-12</t>
        </is>
      </c>
      <c r="B112" s="8" t="inlineStr">
        <is>
          <t>黄芩</t>
        </is>
      </c>
      <c r="C112" s="8" t="inlineStr">
        <is>
          <t>统货</t>
        </is>
      </c>
      <c r="D112" s="9" t="inlineStr">
        <is>
          <t>元/kg</t>
        </is>
      </c>
      <c r="E112" s="8" t="inlineStr">
        <is>
          <t>产地</t>
        </is>
      </c>
      <c r="F112" s="8" t="inlineStr">
        <is>
          <t>山西陵川</t>
        </is>
      </c>
      <c r="G112" s="10">
        <v>5.8</v>
      </c>
      <c r="H112" s="10"/>
      <c r="K112" s="9" t="inlineStr">
        <is>
          <t>药通网</t>
        </is>
      </c>
      <c r="L112" s="8" t="inlineStr">
        <is>
          <t>https://www.yt1998.com/ytw/second/marketMgr/detail.jsp?acid=557131</t>
        </is>
      </c>
      <c r="M112" s="8" t="inlineStr">
        <is>
          <t>山西晋城市陵川县黄芩价格微升</t>
        </is>
      </c>
      <c r="I112" s="10">
        <f>IF(OR(G112="",H112=""),"",G112-H112)</f>
      </c>
      <c r="J112" s="11">
        <f>IF(OR(G112="",H112="",H112=0),"",(G112-H112)/H112)</f>
      </c>
    </row>
    <row r="113">
      <c r="A113" s="7" t="inlineStr">
        <is>
          <t>2026-03-13</t>
        </is>
      </c>
      <c r="B113" s="8" t="inlineStr">
        <is>
          <t>丹参</t>
        </is>
      </c>
      <c r="C113" s="8" t="inlineStr">
        <is>
          <t>产地干货精品货</t>
        </is>
      </c>
      <c r="D113" s="9" t="inlineStr">
        <is>
          <t>元/kg</t>
        </is>
      </c>
      <c r="E113" s="8" t="inlineStr">
        <is>
          <t>产地</t>
        </is>
      </c>
      <c r="F113" s="8" t="inlineStr">
        <is>
          <t>山东平邑</t>
        </is>
      </c>
      <c r="G113" s="10">
        <v>16.5</v>
      </c>
      <c r="H113" s="10"/>
      <c r="K113" s="9" t="inlineStr">
        <is>
          <t>中药材天地网</t>
        </is>
      </c>
      <c r="L113" s="8" t="inlineStr">
        <is>
          <t>https://www.zyctd.com/zixun/201/1104837.html</t>
        </is>
      </c>
      <c r="M113" s="8" t="inlineStr">
        <is>
          <t>山东省临沂市平邑县丹参产地近期走货快</t>
        </is>
      </c>
      <c r="I113" s="10">
        <f>IF(OR(G113="",H113=""),"",G113-H113)</f>
      </c>
      <c r="J113" s="11">
        <f>IF(OR(G113="",H113="",H113=0),"",(G113-H113)/H113)</f>
      </c>
    </row>
    <row r="114">
      <c r="A114" s="7" t="inlineStr">
        <is>
          <t>2026-03-13</t>
        </is>
      </c>
      <c r="B114" s="8" t="inlineStr">
        <is>
          <t>丹参</t>
        </is>
      </c>
      <c r="C114" s="8" t="inlineStr">
        <is>
          <t>产区鲜货价格在</t>
        </is>
      </c>
      <c r="D114" s="9" t="inlineStr">
        <is>
          <t>元/kg</t>
        </is>
      </c>
      <c r="E114" s="8" t="inlineStr">
        <is>
          <t>产地</t>
        </is>
      </c>
      <c r="F114" s="8" t="inlineStr">
        <is>
          <t>河南许昌</t>
        </is>
      </c>
      <c r="G114" s="10">
        <v>3.0</v>
      </c>
      <c r="H114" s="10"/>
      <c r="K114" s="9" t="inlineStr">
        <is>
          <t>中药材天地网</t>
        </is>
      </c>
      <c r="L114" s="8" t="inlineStr">
        <is>
          <t>https://www.zyctd.com/zixun/201/1104833.html</t>
        </is>
      </c>
      <c r="M114" s="8" t="inlineStr">
        <is>
          <t>河南省许昌市禹州市丹参产新继续</t>
        </is>
      </c>
      <c r="I114" s="10">
        <f>IF(OR(G114="",H114=""),"",G114-H114)</f>
      </c>
      <c r="J114" s="11">
        <f>IF(OR(G114="",H114="",H114=0),"",(G114-H114)/H114)</f>
      </c>
    </row>
    <row r="115">
      <c r="A115" s="7" t="inlineStr">
        <is>
          <t>2026-03-13</t>
        </is>
      </c>
      <c r="B115" s="8" t="inlineStr">
        <is>
          <t>丹参</t>
        </is>
      </c>
      <c r="C115" s="8" t="inlineStr">
        <is>
          <t>本地所产的售价</t>
        </is>
      </c>
      <c r="D115" s="9" t="inlineStr">
        <is>
          <t>元/kg</t>
        </is>
      </c>
      <c r="E115" s="8" t="inlineStr">
        <is>
          <t>产地</t>
        </is>
      </c>
      <c r="F115" s="8" t="inlineStr">
        <is>
          <t>甘肃</t>
        </is>
      </c>
      <c r="G115" s="10">
        <v>10.0</v>
      </c>
      <c r="H115" s="10"/>
      <c r="K115" s="9" t="inlineStr">
        <is>
          <t>中药材天地网</t>
        </is>
      </c>
      <c r="L115" s="8" t="inlineStr">
        <is>
          <t>https://www.zyctd.com/zixun/201/1104845.html</t>
        </is>
      </c>
      <c r="M115" s="8" t="inlineStr">
        <is>
          <t>甘肃省庆阳地区丹参行情基本稳定</t>
        </is>
      </c>
      <c r="I115" s="10">
        <f>IF(OR(G115="",H115=""),"",G115-H115)</f>
      </c>
      <c r="J115" s="11">
        <f>IF(OR(G115="",H115="",H115=0),"",(G115-H115)/H115)</f>
      </c>
    </row>
    <row r="116">
      <c r="A116" s="7" t="inlineStr">
        <is>
          <t>2026-03-13</t>
        </is>
      </c>
      <c r="B116" s="8" t="inlineStr">
        <is>
          <t>仙鹤草</t>
        </is>
      </c>
      <c r="C116" s="8" t="inlineStr">
        <is>
          <t>片子</t>
        </is>
      </c>
      <c r="D116" s="9" t="inlineStr">
        <is>
          <t>元/kg</t>
        </is>
      </c>
      <c r="E116" s="8" t="inlineStr">
        <is>
          <t>产地</t>
        </is>
      </c>
      <c r="F116" s="8" t="inlineStr">
        <is>
          <t>河南桐柏</t>
        </is>
      </c>
      <c r="G116" s="10">
        <v>8.0</v>
      </c>
      <c r="H116" s="10"/>
      <c r="K116" s="9" t="inlineStr">
        <is>
          <t>中药材天地网</t>
        </is>
      </c>
      <c r="L116" s="8" t="inlineStr">
        <is>
          <t>https://www.zyctd.com/zixun/201/1104749.html</t>
        </is>
      </c>
      <c r="M116" s="8" t="inlineStr">
        <is>
          <t>河南省南阳市桐柏县仙鹤草价格上浮</t>
        </is>
      </c>
      <c r="I116" s="10">
        <f>IF(OR(G116="",H116=""),"",G116-H116)</f>
      </c>
      <c r="J116" s="11">
        <f>IF(OR(G116="",H116="",H116=0),"",(G116-H116)/H116)</f>
      </c>
    </row>
    <row r="117">
      <c r="A117" s="7" t="inlineStr">
        <is>
          <t>2026-03-13</t>
        </is>
      </c>
      <c r="B117" s="8" t="inlineStr">
        <is>
          <t>全蝎</t>
        </is>
      </c>
      <c r="C117" s="8" t="inlineStr">
        <is>
          <t>3到5厘米统货价格在</t>
        </is>
      </c>
      <c r="D117" s="9" t="inlineStr">
        <is>
          <t>元/kg</t>
        </is>
      </c>
      <c r="E117" s="8" t="inlineStr">
        <is>
          <t>产地</t>
        </is>
      </c>
      <c r="F117" s="8" t="inlineStr">
        <is>
          <t>河南洛阳</t>
        </is>
      </c>
      <c r="G117" s="10">
        <v>1400.0</v>
      </c>
      <c r="H117" s="10"/>
      <c r="K117" s="9" t="inlineStr">
        <is>
          <t>中药材天地网</t>
        </is>
      </c>
      <c r="L117" s="8" t="inlineStr">
        <is>
          <t>https://www.zyctd.com/zixun/201/1104751.html</t>
        </is>
      </c>
      <c r="M117" s="8" t="inlineStr">
        <is>
          <t>河南省洛阳市老城区全蝎走势平稳</t>
        </is>
      </c>
      <c r="I117" s="10">
        <f>IF(OR(G117="",H117=""),"",G117-H117)</f>
      </c>
      <c r="J117" s="11">
        <f>IF(OR(G117="",H117="",H117=0),"",(G117-H117)/H117)</f>
      </c>
    </row>
    <row r="118">
      <c r="A118" s="7" t="inlineStr">
        <is>
          <t>2026-03-13</t>
        </is>
      </c>
      <c r="B118" s="8" t="inlineStr">
        <is>
          <t>升麻</t>
        </is>
      </c>
      <c r="C118" s="8" t="inlineStr">
        <is>
          <t>坚挺，现本地光升麻报价</t>
        </is>
      </c>
      <c r="D118" s="9" t="inlineStr">
        <is>
          <t>元/kg</t>
        </is>
      </c>
      <c r="E118" s="8" t="inlineStr">
        <is>
          <t>产地</t>
        </is>
      </c>
      <c r="F118" s="8" t="inlineStr">
        <is>
          <t>内蒙古呼伦贝尔市鄂伦春旗</t>
        </is>
      </c>
      <c r="G118" s="10">
        <v>72.0</v>
      </c>
      <c r="H118" s="10"/>
      <c r="K118" s="9" t="inlineStr">
        <is>
          <t>中药材天地网</t>
        </is>
      </c>
      <c r="L118" s="8" t="inlineStr">
        <is>
          <t>https://www.zyctd.com/zixun/201/1104826.html</t>
        </is>
      </c>
      <c r="M118" s="8" t="inlineStr">
        <is>
          <t>内蒙古呼伦贝尔市鄂伦春旗升麻行情在坚挺中运行</t>
        </is>
      </c>
      <c r="I118" s="10">
        <f>IF(OR(G118="",H118=""),"",G118-H118)</f>
      </c>
      <c r="J118" s="11">
        <f>IF(OR(G118="",H118="",H118=0),"",(G118-H118)/H118)</f>
      </c>
    </row>
    <row r="119">
      <c r="A119" s="7" t="inlineStr">
        <is>
          <t>2026-03-13</t>
        </is>
      </c>
      <c r="B119" s="8" t="inlineStr">
        <is>
          <t>土大黄</t>
        </is>
      </c>
      <c r="C119" s="8" t="inlineStr">
        <is>
          <t>统货价格在</t>
        </is>
      </c>
      <c r="D119" s="9" t="inlineStr">
        <is>
          <t>元/kg</t>
        </is>
      </c>
      <c r="E119" s="8" t="inlineStr">
        <is>
          <t>产地</t>
        </is>
      </c>
      <c r="F119" s="8" t="inlineStr">
        <is>
          <t>甘肃正宁</t>
        </is>
      </c>
      <c r="G119" s="10">
        <v>5.5</v>
      </c>
      <c r="H119" s="10"/>
      <c r="K119" s="9" t="inlineStr">
        <is>
          <t>中药材天地网</t>
        </is>
      </c>
      <c r="L119" s="8" t="inlineStr">
        <is>
          <t>https://www.zyctd.com/zixun/201/1104849.html</t>
        </is>
      </c>
      <c r="M119" s="8" t="inlineStr">
        <is>
          <t>甘肃省庆阳市正宁县土大黄延续年前价格</t>
        </is>
      </c>
      <c r="I119" s="10">
        <f>IF(OR(G119="",H119=""),"",G119-H119)</f>
      </c>
      <c r="J119" s="11">
        <f>IF(OR(G119="",H119="",H119=0),"",(G119-H119)/H119)</f>
      </c>
    </row>
    <row r="120">
      <c r="A120" s="7" t="inlineStr">
        <is>
          <t>2026-03-13</t>
        </is>
      </c>
      <c r="B120" s="8" t="inlineStr">
        <is>
          <t>地黄</t>
        </is>
      </c>
      <c r="C120" s="8" t="inlineStr">
        <is>
          <t>地黄（三级）价格为</t>
        </is>
      </c>
      <c r="D120" s="9" t="inlineStr">
        <is>
          <t>元/kg</t>
        </is>
      </c>
      <c r="E120" s="8" t="inlineStr">
        <is>
          <t>产地</t>
        </is>
      </c>
      <c r="F120" s="8" t="inlineStr">
        <is>
          <t>河南武陟</t>
        </is>
      </c>
      <c r="G120" s="10">
        <v>11.0</v>
      </c>
      <c r="H120" s="10"/>
      <c r="K120" s="9" t="inlineStr">
        <is>
          <t>中药材天地网</t>
        </is>
      </c>
      <c r="L120" s="8" t="inlineStr">
        <is>
          <t>https://www.zyctd.com/zixun/201/1104820.html</t>
        </is>
      </c>
      <c r="M120" s="8" t="inlineStr">
        <is>
          <t>河南省焦作市武陟县 地黄 走势畅快</t>
        </is>
      </c>
      <c r="I120" s="10">
        <f>IF(OR(G120="",H120=""),"",G120-H120)</f>
      </c>
      <c r="J120" s="11">
        <f>IF(OR(G120="",H120="",H120=0),"",(G120-H120)/H120)</f>
      </c>
    </row>
    <row r="121">
      <c r="A121" s="7" t="inlineStr">
        <is>
          <t>2026-03-13</t>
        </is>
      </c>
      <c r="B121" s="8" t="inlineStr">
        <is>
          <t>天冬</t>
        </is>
      </c>
      <c r="C121" s="8" t="inlineStr">
        <is>
          <t>统个</t>
        </is>
      </c>
      <c r="D121" s="9" t="inlineStr">
        <is>
          <t>元/kg</t>
        </is>
      </c>
      <c r="E121" s="8" t="inlineStr">
        <is>
          <t>玉林</t>
        </is>
      </c>
      <c r="F121" s="8" t="inlineStr">
        <is>
          <t>广西玉林市福绵区近期天冬</t>
        </is>
      </c>
      <c r="G121" s="10">
        <v>48.0</v>
      </c>
      <c r="H121" s="10"/>
      <c r="K121" s="9" t="inlineStr">
        <is>
          <t>中药材天地网</t>
        </is>
      </c>
      <c r="L121" s="8" t="inlineStr">
        <is>
          <t>https://www.zyctd.com/zixun/201/1104840.html</t>
        </is>
      </c>
      <c r="M121" s="8" t="inlineStr">
        <is>
          <t>广西玉林市福绵区近期天冬走货畅快</t>
        </is>
      </c>
      <c r="I121" s="10">
        <f>IF(OR(G121="",H121=""),"",G121-H121)</f>
      </c>
      <c r="J121" s="11">
        <f>IF(OR(G121="",H121="",H121=0),"",(G121-H121)/H121)</f>
      </c>
    </row>
    <row r="122">
      <c r="A122" s="7" t="inlineStr">
        <is>
          <t>2026-03-13</t>
        </is>
      </c>
      <c r="B122" s="8" t="inlineStr">
        <is>
          <t>女贞子</t>
        </is>
      </c>
      <c r="C122" s="8" t="inlineStr">
        <is>
          <t>统货</t>
        </is>
      </c>
      <c r="D122" s="9" t="inlineStr">
        <is>
          <t>元/kg</t>
        </is>
      </c>
      <c r="E122" s="8" t="inlineStr">
        <is>
          <t>产地</t>
        </is>
      </c>
      <c r="F122" s="8" t="inlineStr">
        <is>
          <t>河南桐柏</t>
        </is>
      </c>
      <c r="G122" s="10">
        <v>1.6</v>
      </c>
      <c r="H122" s="10"/>
      <c r="K122" s="9" t="inlineStr">
        <is>
          <t>中药材天地网</t>
        </is>
      </c>
      <c r="L122" s="8" t="inlineStr">
        <is>
          <t>https://www.zyctd.com/zixun/201/1104750.html</t>
        </is>
      </c>
      <c r="M122" s="8" t="inlineStr">
        <is>
          <t>河南省南阳市桐柏县女贞子货源充足</t>
        </is>
      </c>
      <c r="I122" s="10">
        <f>IF(OR(G122="",H122=""),"",G122-H122)</f>
      </c>
      <c r="J122" s="11">
        <f>IF(OR(G122="",H122="",H122=0),"",(G122-H122)/H122)</f>
      </c>
    </row>
    <row r="123">
      <c r="A123" s="7" t="inlineStr">
        <is>
          <t>2026-03-13</t>
        </is>
      </c>
      <c r="B123" s="8" t="inlineStr">
        <is>
          <t>山麦冬</t>
        </is>
      </c>
      <c r="C123" s="8" t="inlineStr">
        <is>
          <t>近期价格在</t>
        </is>
      </c>
      <c r="D123" s="9" t="inlineStr">
        <is>
          <t>元/kg</t>
        </is>
      </c>
      <c r="E123" s="8" t="inlineStr">
        <is>
          <t>产地</t>
        </is>
      </c>
      <c r="F123" s="8" t="inlineStr">
        <is>
          <t>湖北襄阳</t>
        </is>
      </c>
      <c r="G123" s="10">
        <v>11.0</v>
      </c>
      <c r="H123" s="10"/>
      <c r="K123" s="9" t="inlineStr">
        <is>
          <t>中药材天地网</t>
        </is>
      </c>
      <c r="L123" s="8" t="inlineStr">
        <is>
          <t>https://www.zyctd.com/zixun/201/1104774.html</t>
        </is>
      </c>
      <c r="M123" s="8" t="inlineStr">
        <is>
          <t>湖北省襄阳市山麦冬产新中 价格下滑</t>
        </is>
      </c>
      <c r="I123" s="10">
        <f>IF(OR(G123="",H123=""),"",G123-H123)</f>
      </c>
      <c r="J123" s="11">
        <f>IF(OR(G123="",H123="",H123=0),"",(G123-H123)/H123)</f>
      </c>
    </row>
    <row r="124">
      <c r="A124" s="7" t="inlineStr">
        <is>
          <t>2026-03-13</t>
        </is>
      </c>
      <c r="B124" s="8" t="inlineStr">
        <is>
          <t>巴戟天</t>
        </is>
      </c>
      <c r="C124" s="8" t="inlineStr">
        <is>
          <t>统货</t>
        </is>
      </c>
      <c r="D124" s="9" t="inlineStr">
        <is>
          <t>元/kg</t>
        </is>
      </c>
      <c r="E124" s="8" t="inlineStr">
        <is>
          <t>产地</t>
        </is>
      </c>
      <c r="F124" s="8" t="inlineStr">
        <is>
          <t>广东肇庆</t>
        </is>
      </c>
      <c r="G124" s="10"/>
      <c r="H124" s="10"/>
      <c r="K124" s="9" t="inlineStr">
        <is>
          <t>中药材天地网</t>
        </is>
      </c>
      <c r="L124" s="8" t="inlineStr">
        <is>
          <t>https://www.zyctd.com/zixun/201/1104839.html</t>
        </is>
      </c>
      <c r="M124" s="8" t="inlineStr">
        <is>
          <t>广东省肇庆市高要区巴戟天鲜货开始抢时采挖</t>
        </is>
      </c>
      <c r="I124" s="10">
        <f>IF(OR(G124="",H124=""),"",G124-H124)</f>
      </c>
      <c r="J124" s="11">
        <f>IF(OR(G124="",H124="",H124=0),"",(G124-H124)/H124)</f>
      </c>
    </row>
    <row r="125">
      <c r="A125" s="7" t="inlineStr">
        <is>
          <t>2026-03-13</t>
        </is>
      </c>
      <c r="B125" s="8" t="inlineStr">
        <is>
          <t>广藿香</t>
        </is>
      </c>
      <c r="C125" s="8" t="inlineStr">
        <is>
          <t>统条价格</t>
        </is>
      </c>
      <c r="D125" s="9" t="inlineStr">
        <is>
          <t>元/kg</t>
        </is>
      </c>
      <c r="E125" s="8" t="inlineStr">
        <is>
          <t>产地</t>
        </is>
      </c>
      <c r="F125" s="8" t="inlineStr">
        <is>
          <t>广西贵港市桥圩镇广藿香行</t>
        </is>
      </c>
      <c r="G125" s="10">
        <v>7.5</v>
      </c>
      <c r="H125" s="10"/>
      <c r="K125" s="9" t="inlineStr">
        <is>
          <t>中药材天地网</t>
        </is>
      </c>
      <c r="L125" s="8" t="inlineStr">
        <is>
          <t>https://www.zyctd.com/zixun/201/1104795.html</t>
        </is>
      </c>
      <c r="M125" s="8" t="inlineStr">
        <is>
          <t>广西贵港市桥圩镇广藿香行情好于去年</t>
        </is>
      </c>
      <c r="I125" s="10">
        <f>IF(OR(G125="",H125=""),"",G125-H125)</f>
      </c>
      <c r="J125" s="11">
        <f>IF(OR(G125="",H125="",H125=0),"",(G125-H125)/H125)</f>
      </c>
    </row>
    <row r="126">
      <c r="A126" s="7" t="inlineStr">
        <is>
          <t>2026-03-13</t>
        </is>
      </c>
      <c r="B126" s="8" t="inlineStr">
        <is>
          <t>延胡索</t>
        </is>
      </c>
      <c r="C126" s="8" t="inlineStr">
        <is>
          <t>统货在</t>
        </is>
      </c>
      <c r="D126" s="9" t="inlineStr">
        <is>
          <t>元/kg</t>
        </is>
      </c>
      <c r="E126" s="8" t="inlineStr">
        <is>
          <t>浙八味市场</t>
        </is>
      </c>
      <c r="F126" s="8" t="inlineStr">
        <is>
          <t>浙江磐安</t>
        </is>
      </c>
      <c r="G126" s="10">
        <v>78.0</v>
      </c>
      <c r="H126" s="10"/>
      <c r="K126" s="9" t="inlineStr">
        <is>
          <t>中药材天地网</t>
        </is>
      </c>
      <c r="L126" s="8" t="inlineStr">
        <is>
          <t>https://www.zyctd.com/zixun/201/1104777.html</t>
        </is>
      </c>
      <c r="M126" s="8" t="inlineStr">
        <is>
          <t>浙江省金华市磐安县延胡索行情继续走稳</t>
        </is>
      </c>
      <c r="I126" s="10">
        <f>IF(OR(G126="",H126=""),"",G126-H126)</f>
      </c>
      <c r="J126" s="11">
        <f>IF(OR(G126="",H126="",H126=0),"",(G126-H126)/H126)</f>
      </c>
    </row>
    <row r="127">
      <c r="A127" s="7" t="inlineStr">
        <is>
          <t>2026-03-13</t>
        </is>
      </c>
      <c r="B127" s="8" t="inlineStr">
        <is>
          <t>板蓝根</t>
        </is>
      </c>
      <c r="C127" s="8" t="inlineStr">
        <is>
          <t>本地板蓝根统货报价</t>
        </is>
      </c>
      <c r="D127" s="9" t="inlineStr">
        <is>
          <t>元/kg</t>
        </is>
      </c>
      <c r="E127" s="8" t="inlineStr">
        <is>
          <t>产地</t>
        </is>
      </c>
      <c r="F127" s="8" t="inlineStr">
        <is>
          <t>内蒙古呼伦贝尔市鄂伦春旗</t>
        </is>
      </c>
      <c r="G127" s="10">
        <v>9.0</v>
      </c>
      <c r="H127" s="10"/>
      <c r="K127" s="9" t="inlineStr">
        <is>
          <t>中药材天地网</t>
        </is>
      </c>
      <c r="L127" s="8" t="inlineStr">
        <is>
          <t>https://www.zyctd.com/zixun/201/1104823.html</t>
        </is>
      </c>
      <c r="M127" s="8" t="inlineStr">
        <is>
          <t>内蒙古呼伦贝尔市鄂伦春旗板蓝根货源正常购销中</t>
        </is>
      </c>
      <c r="I127" s="10">
        <f>IF(OR(G127="",H127=""),"",G127-H127)</f>
      </c>
      <c r="J127" s="11">
        <f>IF(OR(G127="",H127="",H127=0),"",(G127-H127)/H127)</f>
      </c>
    </row>
    <row r="128">
      <c r="A128" s="7" t="inlineStr">
        <is>
          <t>2026-03-13</t>
        </is>
      </c>
      <c r="B128" s="8" t="inlineStr">
        <is>
          <t>柴胡</t>
        </is>
      </c>
      <c r="C128" s="8" t="inlineStr">
        <is>
          <t>本地所产的药厂货要价</t>
        </is>
      </c>
      <c r="D128" s="9" t="inlineStr">
        <is>
          <t>元/kg</t>
        </is>
      </c>
      <c r="E128" s="8" t="inlineStr">
        <is>
          <t>产地</t>
        </is>
      </c>
      <c r="F128" s="8" t="inlineStr">
        <is>
          <t>甘肃</t>
        </is>
      </c>
      <c r="G128" s="10">
        <v>58.0</v>
      </c>
      <c r="H128" s="10"/>
      <c r="K128" s="9" t="inlineStr">
        <is>
          <t>中药材天地网</t>
        </is>
      </c>
      <c r="L128" s="8" t="inlineStr">
        <is>
          <t>https://www.zyctd.com/zixun/201/1104846.html</t>
        </is>
      </c>
      <c r="M128" s="8" t="inlineStr">
        <is>
          <t>甘肃省庆阳地区柴胡行情暂时平稳</t>
        </is>
      </c>
      <c r="I128" s="10">
        <f>IF(OR(G128="",H128=""),"",G128-H128)</f>
      </c>
      <c r="J128" s="11">
        <f>IF(OR(G128="",H128="",H128=0),"",(G128-H128)/H128)</f>
      </c>
    </row>
    <row r="129">
      <c r="A129" s="7" t="inlineStr">
        <is>
          <t>2026-03-13</t>
        </is>
      </c>
      <c r="B129" s="8" t="inlineStr">
        <is>
          <t>泽泻</t>
        </is>
      </c>
      <c r="C129" s="8" t="inlineStr">
        <is>
          <t>统货</t>
        </is>
      </c>
      <c r="D129" s="9" t="inlineStr">
        <is>
          <t>元/kg</t>
        </is>
      </c>
      <c r="E129" s="8" t="inlineStr">
        <is>
          <t>产地</t>
        </is>
      </c>
      <c r="F129" s="8" t="inlineStr">
        <is>
          <t>广西贵港市桥圩镇泽泻产新</t>
        </is>
      </c>
      <c r="G129" s="10"/>
      <c r="H129" s="10"/>
      <c r="K129" s="9" t="inlineStr">
        <is>
          <t>中药材天地网</t>
        </is>
      </c>
      <c r="L129" s="8" t="inlineStr">
        <is>
          <t>https://www.zyctd.com/zixun/201/1104793.html</t>
        </is>
      </c>
      <c r="M129" s="8" t="inlineStr">
        <is>
          <t>广西贵港市桥圩镇泽泻产新上市货少</t>
        </is>
      </c>
      <c r="I129" s="10">
        <f>IF(OR(G129="",H129=""),"",G129-H129)</f>
      </c>
      <c r="J129" s="11">
        <f>IF(OR(G129="",H129="",H129=0),"",(G129-H129)/H129)</f>
      </c>
    </row>
    <row r="130">
      <c r="A130" s="7" t="inlineStr">
        <is>
          <t>2026-03-13</t>
        </is>
      </c>
      <c r="B130" s="8" t="inlineStr">
        <is>
          <t>浙贝母</t>
        </is>
      </c>
      <c r="C130" s="8" t="inlineStr">
        <is>
          <t>小片在</t>
        </is>
      </c>
      <c r="D130" s="9" t="inlineStr">
        <is>
          <t>元/kg</t>
        </is>
      </c>
      <c r="E130" s="8" t="inlineStr">
        <is>
          <t>浙八味市场</t>
        </is>
      </c>
      <c r="F130" s="8" t="inlineStr">
        <is>
          <t>浙江磐安</t>
        </is>
      </c>
      <c r="G130" s="10">
        <v>140.0</v>
      </c>
      <c r="H130" s="10"/>
      <c r="K130" s="9" t="inlineStr">
        <is>
          <t>中药材天地网</t>
        </is>
      </c>
      <c r="L130" s="8" t="inlineStr">
        <is>
          <t>https://www.zyctd.com/zixun/201/1104779.html</t>
        </is>
      </c>
      <c r="M130" s="8" t="inlineStr">
        <is>
          <t>浙江省金华市磐安县浙八味市场浙贝母表现好于上一集</t>
        </is>
      </c>
      <c r="I130" s="10">
        <f>IF(OR(G130="",H130=""),"",G130-H130)</f>
      </c>
      <c r="J130" s="11">
        <f>IF(OR(G130="",H130="",H130=0),"",(G130-H130)/H130)</f>
      </c>
    </row>
    <row r="131">
      <c r="A131" s="7" t="inlineStr">
        <is>
          <t>2026-03-13</t>
        </is>
      </c>
      <c r="B131" s="8" t="inlineStr">
        <is>
          <t>淫羊藿</t>
        </is>
      </c>
      <c r="C131" s="8" t="inlineStr">
        <is>
          <t>本地淫羊藿报价</t>
        </is>
      </c>
      <c r="D131" s="9" t="inlineStr">
        <is>
          <t>元/kg</t>
        </is>
      </c>
      <c r="E131" s="8" t="inlineStr">
        <is>
          <t>产地</t>
        </is>
      </c>
      <c r="F131" s="8" t="inlineStr">
        <is>
          <t>内蒙古呼伦贝尔市鄂伦春旗</t>
        </is>
      </c>
      <c r="G131" s="10">
        <v>85.0</v>
      </c>
      <c r="H131" s="10"/>
      <c r="K131" s="9" t="inlineStr">
        <is>
          <t>中药材天地网</t>
        </is>
      </c>
      <c r="L131" s="8" t="inlineStr">
        <is>
          <t>https://www.zyctd.com/zixun/201/1104827.html</t>
        </is>
      </c>
      <c r="M131" s="8" t="inlineStr">
        <is>
          <t>内蒙古呼伦贝尔市鄂伦春旗淫羊藿行情继续上扬</t>
        </is>
      </c>
      <c r="I131" s="10">
        <f>IF(OR(G131="",H131=""),"",G131-H131)</f>
      </c>
      <c r="J131" s="11">
        <f>IF(OR(G131="",H131="",H131=0),"",(G131-H131)/H131)</f>
      </c>
    </row>
    <row r="132">
      <c r="A132" s="7" t="inlineStr">
        <is>
          <t>2026-03-13</t>
        </is>
      </c>
      <c r="B132" s="8" t="inlineStr">
        <is>
          <t>玄参</t>
        </is>
      </c>
      <c r="C132" s="8" t="inlineStr">
        <is>
          <t>鲜货报价在</t>
        </is>
      </c>
      <c r="D132" s="9" t="inlineStr">
        <is>
          <t>元/kg</t>
        </is>
      </c>
      <c r="E132" s="8" t="inlineStr">
        <is>
          <t>产地</t>
        </is>
      </c>
      <c r="F132" s="8" t="inlineStr">
        <is>
          <t>河南许昌</t>
        </is>
      </c>
      <c r="G132" s="10">
        <v>1.0</v>
      </c>
      <c r="H132" s="10"/>
      <c r="K132" s="9" t="inlineStr">
        <is>
          <t>中药材天地网</t>
        </is>
      </c>
      <c r="L132" s="8" t="inlineStr">
        <is>
          <t>https://www.zyctd.com/zixun/201/1104834.html</t>
        </is>
      </c>
      <c r="M132" s="8" t="inlineStr">
        <is>
          <t>河南省许昌市禹州市玄参产新继续</t>
        </is>
      </c>
      <c r="I132" s="10">
        <f>IF(OR(G132="",H132=""),"",G132-H132)</f>
      </c>
      <c r="J132" s="11">
        <f>IF(OR(G132="",H132="",H132=0),"",(G132-H132)/H132)</f>
      </c>
    </row>
    <row r="133">
      <c r="A133" s="7" t="inlineStr">
        <is>
          <t>2026-03-13</t>
        </is>
      </c>
      <c r="B133" s="8" t="inlineStr">
        <is>
          <t>白鲜皮</t>
        </is>
      </c>
      <c r="C133" s="8" t="inlineStr">
        <is>
          <t>本地白鲜皮85%的货价</t>
        </is>
      </c>
      <c r="D133" s="9" t="inlineStr">
        <is>
          <t>元/kg</t>
        </is>
      </c>
      <c r="E133" s="8" t="inlineStr">
        <is>
          <t>产地</t>
        </is>
      </c>
      <c r="F133" s="8" t="inlineStr">
        <is>
          <t>内蒙古呼伦贝尔市鄂伦春旗</t>
        </is>
      </c>
      <c r="G133" s="10">
        <v>125.0</v>
      </c>
      <c r="H133" s="10"/>
      <c r="K133" s="9" t="inlineStr">
        <is>
          <t>中药材天地网</t>
        </is>
      </c>
      <c r="L133" s="8" t="inlineStr">
        <is>
          <t>https://www.zyctd.com/zixun/201/1104825.html</t>
        </is>
      </c>
      <c r="M133" s="8" t="inlineStr">
        <is>
          <t>内蒙古呼伦贝尔市鄂伦春旗白鲜皮行情平稳</t>
        </is>
      </c>
      <c r="I133" s="10">
        <f>IF(OR(G133="",H133=""),"",G133-H133)</f>
      </c>
      <c r="J133" s="11">
        <f>IF(OR(G133="",H133="",H133=0),"",(G133-H133)/H133)</f>
      </c>
    </row>
    <row r="134">
      <c r="A134" s="7" t="inlineStr">
        <is>
          <t>2026-03-13</t>
        </is>
      </c>
      <c r="B134" s="8" t="inlineStr">
        <is>
          <t>百合</t>
        </is>
      </c>
      <c r="C134" s="8" t="inlineStr">
        <is>
          <t>精选特级价格为</t>
        </is>
      </c>
      <c r="D134" s="9" t="inlineStr">
        <is>
          <t>元/kg</t>
        </is>
      </c>
      <c r="E134" s="8" t="inlineStr">
        <is>
          <t>产地</t>
        </is>
      </c>
      <c r="F134" s="8" t="inlineStr">
        <is>
          <t>湖南龙牙百合近期走货畅快</t>
        </is>
      </c>
      <c r="G134" s="10">
        <v>135.0</v>
      </c>
      <c r="H134" s="10"/>
      <c r="K134" s="9" t="inlineStr">
        <is>
          <t>中药材天地网</t>
        </is>
      </c>
      <c r="L134" s="8" t="inlineStr">
        <is>
          <t>https://www.zyctd.com/zixun/201/1104841.html</t>
        </is>
      </c>
      <c r="M134" s="8" t="inlineStr">
        <is>
          <t>湖南产地龙牙百合近期走货畅快</t>
        </is>
      </c>
      <c r="I134" s="10">
        <f>IF(OR(G134="",H134=""),"",G134-H134)</f>
      </c>
      <c r="J134" s="11">
        <f>IF(OR(G134="",H134="",H134=0),"",(G134-H134)/H134)</f>
      </c>
    </row>
    <row r="135">
      <c r="A135" s="7" t="inlineStr">
        <is>
          <t>2026-03-13</t>
        </is>
      </c>
      <c r="B135" s="8" t="inlineStr">
        <is>
          <t>穿心莲</t>
        </is>
      </c>
      <c r="C135" s="8" t="inlineStr">
        <is>
          <t>全草价格</t>
        </is>
      </c>
      <c r="D135" s="9" t="inlineStr">
        <is>
          <t>元/kg</t>
        </is>
      </c>
      <c r="E135" s="8" t="inlineStr">
        <is>
          <t>产地</t>
        </is>
      </c>
      <c r="F135" s="8" t="inlineStr">
        <is>
          <t>广西贵港市桥圩镇穿心莲行</t>
        </is>
      </c>
      <c r="G135" s="10">
        <v>4.5</v>
      </c>
      <c r="H135" s="10"/>
      <c r="K135" s="9" t="inlineStr">
        <is>
          <t>中药材天地网</t>
        </is>
      </c>
      <c r="L135" s="8" t="inlineStr">
        <is>
          <t>https://www.zyctd.com/zixun/201/1104796.html</t>
        </is>
      </c>
      <c r="M135" s="8" t="inlineStr">
        <is>
          <t>广西贵港市桥圩镇穿心莲行情保持平稳</t>
        </is>
      </c>
      <c r="I135" s="10">
        <f>IF(OR(G135="",H135=""),"",G135-H135)</f>
      </c>
      <c r="J135" s="11">
        <f>IF(OR(G135="",H135="",H135=0),"",(G135-H135)/H135)</f>
      </c>
    </row>
    <row r="136">
      <c r="A136" s="7" t="inlineStr">
        <is>
          <t>2026-03-13</t>
        </is>
      </c>
      <c r="B136" s="8" t="inlineStr">
        <is>
          <t>苍术</t>
        </is>
      </c>
      <c r="C136" s="8" t="inlineStr">
        <is>
          <t>本地家种苍术报价</t>
        </is>
      </c>
      <c r="D136" s="9" t="inlineStr">
        <is>
          <t>元/kg</t>
        </is>
      </c>
      <c r="E136" s="8" t="inlineStr">
        <is>
          <t>产地</t>
        </is>
      </c>
      <c r="F136" s="8" t="inlineStr">
        <is>
          <t>内蒙古呼伦贝尔市鄂伦春旗</t>
        </is>
      </c>
      <c r="G136" s="10">
        <v>27.0</v>
      </c>
      <c r="H136" s="10"/>
      <c r="K136" s="9" t="inlineStr">
        <is>
          <t>中药材天地网</t>
        </is>
      </c>
      <c r="L136" s="8" t="inlineStr">
        <is>
          <t>https://www.zyctd.com/zixun/201/1104830.html</t>
        </is>
      </c>
      <c r="M136" s="8" t="inlineStr">
        <is>
          <t>内蒙古呼伦贝尔市鄂伦春旗苍术行情表现坚挺</t>
        </is>
      </c>
      <c r="I136" s="10">
        <f>IF(OR(G136="",H136=""),"",G136-H136)</f>
      </c>
      <c r="J136" s="11">
        <f>IF(OR(G136="",H136="",H136=0),"",(G136-H136)/H136)</f>
      </c>
    </row>
    <row r="137">
      <c r="A137" s="7" t="inlineStr">
        <is>
          <t>2026-03-13</t>
        </is>
      </c>
      <c r="B137" s="8" t="inlineStr">
        <is>
          <t>茵陈</t>
        </is>
      </c>
      <c r="C137" s="8" t="inlineStr">
        <is>
          <t>产地统货售价</t>
        </is>
      </c>
      <c r="D137" s="9" t="inlineStr">
        <is>
          <t>元/kg</t>
        </is>
      </c>
      <c r="E137" s="8" t="inlineStr">
        <is>
          <t>产地</t>
        </is>
      </c>
      <c r="F137" s="8" t="inlineStr">
        <is>
          <t>甘肃</t>
        </is>
      </c>
      <c r="G137" s="10">
        <v>6.4</v>
      </c>
      <c r="H137" s="10"/>
      <c r="K137" s="9" t="inlineStr">
        <is>
          <t>中药材天地网</t>
        </is>
      </c>
      <c r="L137" s="8" t="inlineStr">
        <is>
          <t>https://www.zyctd.com/zixun/201/1104847.html</t>
        </is>
      </c>
      <c r="M137" s="8" t="inlineStr">
        <is>
          <t>甘肃省庆阳地区茵陈行情不温不火</t>
        </is>
      </c>
      <c r="I137" s="10">
        <f>IF(OR(G137="",H137=""),"",G137-H137)</f>
      </c>
      <c r="J137" s="11">
        <f>IF(OR(G137="",H137="",H137=0),"",(G137-H137)/H137)</f>
      </c>
    </row>
    <row r="138">
      <c r="A138" s="7" t="inlineStr">
        <is>
          <t>2026-03-13</t>
        </is>
      </c>
      <c r="B138" s="8" t="inlineStr">
        <is>
          <t>荆芥</t>
        </is>
      </c>
      <c r="C138" s="8" t="inlineStr">
        <is>
          <t>本地荆芥药厂咀子报价</t>
        </is>
      </c>
      <c r="D138" s="9" t="inlineStr">
        <is>
          <t>元/kg</t>
        </is>
      </c>
      <c r="E138" s="8" t="inlineStr">
        <is>
          <t>安国</t>
        </is>
      </c>
      <c r="F138" s="8" t="inlineStr">
        <is>
          <t>河北安国</t>
        </is>
      </c>
      <c r="G138" s="10">
        <v>3.5</v>
      </c>
      <c r="H138" s="10"/>
      <c r="K138" s="9" t="inlineStr">
        <is>
          <t>中药材天地网</t>
        </is>
      </c>
      <c r="L138" s="8" t="inlineStr">
        <is>
          <t>https://www.zyctd.com/zixun/201/1104844.html</t>
        </is>
      </c>
      <c r="M138" s="8" t="inlineStr">
        <is>
          <t>河北省安国市荆芥行情与前期相差不大</t>
        </is>
      </c>
      <c r="I138" s="10">
        <f>IF(OR(G138="",H138=""),"",G138-H138)</f>
      </c>
      <c r="J138" s="11">
        <f>IF(OR(G138="",H138="",H138=0),"",(G138-H138)/H138)</f>
      </c>
    </row>
    <row r="139">
      <c r="A139" s="7" t="inlineStr">
        <is>
          <t>2026-03-13</t>
        </is>
      </c>
      <c r="B139" s="8" t="inlineStr">
        <is>
          <t>荆芥穗</t>
        </is>
      </c>
      <c r="C139" s="8" t="inlineStr">
        <is>
          <t>本地手剪穗好统货报价</t>
        </is>
      </c>
      <c r="D139" s="9" t="inlineStr">
        <is>
          <t>元/kg</t>
        </is>
      </c>
      <c r="E139" s="8" t="inlineStr">
        <is>
          <t>安国</t>
        </is>
      </c>
      <c r="F139" s="8" t="inlineStr">
        <is>
          <t>河北安国</t>
        </is>
      </c>
      <c r="G139" s="10">
        <v>55.0</v>
      </c>
      <c r="H139" s="10"/>
      <c r="K139" s="9" t="inlineStr">
        <is>
          <t>中药材天地网</t>
        </is>
      </c>
      <c r="L139" s="8" t="inlineStr">
        <is>
          <t>https://www.zyctd.com/zixun/201/1104843.html</t>
        </is>
      </c>
      <c r="M139" s="8" t="inlineStr">
        <is>
          <t>河北省安国市荆芥穗行情有所上扬</t>
        </is>
      </c>
      <c r="I139" s="10">
        <f>IF(OR(G139="",H139=""),"",G139-H139)</f>
      </c>
      <c r="J139" s="11">
        <f>IF(OR(G139="",H139="",H139=0),"",(G139-H139)/H139)</f>
      </c>
    </row>
    <row r="140">
      <c r="A140" s="7" t="inlineStr">
        <is>
          <t>2026-03-13</t>
        </is>
      </c>
      <c r="B140" s="8" t="inlineStr">
        <is>
          <t>蒲公英</t>
        </is>
      </c>
      <c r="C140" s="8" t="inlineStr">
        <is>
          <t>产地售价</t>
        </is>
      </c>
      <c r="D140" s="9" t="inlineStr">
        <is>
          <t>元/kg</t>
        </is>
      </c>
      <c r="E140" s="8" t="inlineStr">
        <is>
          <t>产地</t>
        </is>
      </c>
      <c r="F140" s="8" t="inlineStr">
        <is>
          <t>甘肃正宁</t>
        </is>
      </c>
      <c r="G140" s="10">
        <v>6.0</v>
      </c>
      <c r="H140" s="10"/>
      <c r="K140" s="9" t="inlineStr">
        <is>
          <t>中药材天地网</t>
        </is>
      </c>
      <c r="L140" s="8" t="inlineStr">
        <is>
          <t>https://www.zyctd.com/zixun/201/1104848.html</t>
        </is>
      </c>
      <c r="M140" s="8" t="inlineStr">
        <is>
          <t>甘肃省庆阳市正宁县蒲公英行情与年前基本持平</t>
        </is>
      </c>
      <c r="I140" s="10">
        <f>IF(OR(G140="",H140=""),"",G140-H140)</f>
      </c>
      <c r="J140" s="11">
        <f>IF(OR(G140="",H140="",H140=0),"",(G140-H140)/H140)</f>
      </c>
    </row>
    <row r="141">
      <c r="A141" s="7" t="inlineStr">
        <is>
          <t>2026-03-13</t>
        </is>
      </c>
      <c r="B141" s="8" t="inlineStr">
        <is>
          <t>覆盆子</t>
        </is>
      </c>
      <c r="C141" s="8" t="inlineStr">
        <is>
          <t>统货价格在</t>
        </is>
      </c>
      <c r="D141" s="9" t="inlineStr">
        <is>
          <t>元/kg</t>
        </is>
      </c>
      <c r="E141" s="8" t="inlineStr">
        <is>
          <t>浙八味市场</t>
        </is>
      </c>
      <c r="F141" s="8" t="inlineStr">
        <is>
          <t>浙江磐安</t>
        </is>
      </c>
      <c r="G141" s="10">
        <v>82.0</v>
      </c>
      <c r="H141" s="10"/>
      <c r="K141" s="9" t="inlineStr">
        <is>
          <t>中药材天地网</t>
        </is>
      </c>
      <c r="L141" s="8" t="inlineStr">
        <is>
          <t>https://www.zyctd.com/zixun/201/1104776.html</t>
        </is>
      </c>
      <c r="M141" s="8" t="inlineStr">
        <is>
          <t>浙江省金华市磐安县覆盆子货源走动一般</t>
        </is>
      </c>
      <c r="I141" s="10">
        <f>IF(OR(G141="",H141=""),"",G141-H141)</f>
      </c>
      <c r="J141" s="11">
        <f>IF(OR(G141="",H141="",H141=0),"",(G141-H141)/H141)</f>
      </c>
    </row>
    <row r="142">
      <c r="A142" s="7" t="inlineStr">
        <is>
          <t>2026-03-13</t>
        </is>
      </c>
      <c r="B142" s="8" t="inlineStr">
        <is>
          <t>赤芍</t>
        </is>
      </c>
      <c r="C142" s="8" t="inlineStr">
        <is>
          <t>本地家种赤芍报价</t>
        </is>
      </c>
      <c r="D142" s="9" t="inlineStr">
        <is>
          <t>元/kg</t>
        </is>
      </c>
      <c r="E142" s="8" t="inlineStr">
        <is>
          <t>产地</t>
        </is>
      </c>
      <c r="F142" s="8" t="inlineStr">
        <is>
          <t>内蒙古呼伦贝尔市鄂伦春旗</t>
        </is>
      </c>
      <c r="G142" s="10">
        <v>28.0</v>
      </c>
      <c r="H142" s="10"/>
      <c r="K142" s="9" t="inlineStr">
        <is>
          <t>中药材天地网</t>
        </is>
      </c>
      <c r="L142" s="8" t="inlineStr">
        <is>
          <t>https://www.zyctd.com/zixun/201/1104831.html</t>
        </is>
      </c>
      <c r="M142" s="8" t="inlineStr">
        <is>
          <t>内蒙古呼伦贝尔市鄂伦春旗赤芍行情在平稳中运行</t>
        </is>
      </c>
      <c r="I142" s="10">
        <f>IF(OR(G142="",H142=""),"",G142-H142)</f>
      </c>
      <c r="J142" s="11">
        <f>IF(OR(G142="",H142="",H142=0),"",(G142-H142)/H142)</f>
      </c>
    </row>
    <row r="143">
      <c r="A143" s="7" t="inlineStr">
        <is>
          <t>2026-03-13</t>
        </is>
      </c>
      <c r="B143" s="8" t="inlineStr">
        <is>
          <t>酸枣仁</t>
        </is>
      </c>
      <c r="C143" s="8" t="inlineStr">
        <is>
          <t>98货价格</t>
        </is>
      </c>
      <c r="D143" s="9" t="inlineStr">
        <is>
          <t>元/kg</t>
        </is>
      </c>
      <c r="E143" s="8" t="inlineStr">
        <is>
          <t>产地</t>
        </is>
      </c>
      <c r="F143" s="8" t="inlineStr">
        <is>
          <t>河北内丘</t>
        </is>
      </c>
      <c r="G143" s="10">
        <v>470.0</v>
      </c>
      <c r="H143" s="10"/>
      <c r="K143" s="9" t="inlineStr">
        <is>
          <t>中药材天地网</t>
        </is>
      </c>
      <c r="L143" s="8" t="inlineStr">
        <is>
          <t>https://www.zyctd.com/zixun/201/1104822.html</t>
        </is>
      </c>
      <c r="M143" s="8" t="inlineStr">
        <is>
          <t>河北省邢台市内丘县酸枣仁走动正常</t>
        </is>
      </c>
      <c r="I143" s="10">
        <f>IF(OR(G143="",H143=""),"",G143-H143)</f>
      </c>
      <c r="J143" s="11">
        <f>IF(OR(G143="",H143="",H143=0),"",(G143-H143)/H143)</f>
      </c>
    </row>
    <row r="144">
      <c r="A144" s="7" t="inlineStr">
        <is>
          <t>2026-03-13</t>
        </is>
      </c>
      <c r="B144" s="8" t="inlineStr">
        <is>
          <t>金银花</t>
        </is>
      </c>
      <c r="C144" s="8" t="inlineStr">
        <is>
          <t>黄白一级过色选</t>
        </is>
      </c>
      <c r="D144" s="9" t="inlineStr">
        <is>
          <t>元/kg</t>
        </is>
      </c>
      <c r="E144" s="8" t="inlineStr">
        <is>
          <t>产地</t>
        </is>
      </c>
      <c r="F144" s="8" t="inlineStr">
        <is>
          <t>山东平邑</t>
        </is>
      </c>
      <c r="G144" s="10">
        <v>95.0</v>
      </c>
      <c r="H144" s="10"/>
      <c r="K144" s="9" t="inlineStr">
        <is>
          <t>中药材天地网</t>
        </is>
      </c>
      <c r="L144" s="8" t="inlineStr">
        <is>
          <t>https://www.zyctd.com/zixun/201/1104838.html</t>
        </is>
      </c>
      <c r="M144" s="8" t="inlineStr">
        <is>
          <t>山东省临沂市平邑县金银花行情走快</t>
        </is>
      </c>
      <c r="I144" s="10">
        <f>IF(OR(G144="",H144=""),"",G144-H144)</f>
      </c>
      <c r="J144" s="11">
        <f>IF(OR(G144="",H144="",H144=0),"",(G144-H144)/H144)</f>
      </c>
    </row>
    <row r="145">
      <c r="A145" s="7" t="inlineStr">
        <is>
          <t>2026-03-13</t>
        </is>
      </c>
      <c r="B145" s="8" t="inlineStr">
        <is>
          <t>防风</t>
        </is>
      </c>
      <c r="C145" s="8" t="inlineStr">
        <is>
          <t>本地家种4年生的关防风报价</t>
        </is>
      </c>
      <c r="D145" s="9" t="inlineStr">
        <is>
          <t>元/kg</t>
        </is>
      </c>
      <c r="E145" s="8" t="inlineStr">
        <is>
          <t>产地</t>
        </is>
      </c>
      <c r="F145" s="8" t="inlineStr">
        <is>
          <t>内蒙古呼伦贝尔市鄂伦春旗</t>
        </is>
      </c>
      <c r="G145" s="10">
        <v>55.0</v>
      </c>
      <c r="H145" s="10"/>
      <c r="K145" s="9" t="inlineStr">
        <is>
          <t>中药材天地网</t>
        </is>
      </c>
      <c r="L145" s="8" t="inlineStr">
        <is>
          <t>https://www.zyctd.com/zixun/201/1104829.html</t>
        </is>
      </c>
      <c r="M145" s="8" t="inlineStr">
        <is>
          <t>内蒙古呼伦贝尔市鄂伦春旗防风有货源供应</t>
        </is>
      </c>
      <c r="I145" s="10">
        <f>IF(OR(G145="",H145=""),"",G145-H145)</f>
      </c>
      <c r="J145" s="11">
        <f>IF(OR(G145="",H145="",H145=0),"",(G145-H145)/H145)</f>
      </c>
    </row>
    <row r="146">
      <c r="A146" s="7" t="inlineStr">
        <is>
          <t>2026-03-13</t>
        </is>
      </c>
      <c r="B146" s="8" t="inlineStr">
        <is>
          <t>防风</t>
        </is>
      </c>
      <c r="C146" s="8" t="inlineStr">
        <is>
          <t>产区鲜货价格在</t>
        </is>
      </c>
      <c r="D146" s="9" t="inlineStr">
        <is>
          <t>元/kg</t>
        </is>
      </c>
      <c r="E146" s="8" t="inlineStr">
        <is>
          <t>产地</t>
        </is>
      </c>
      <c r="F146" s="8" t="inlineStr">
        <is>
          <t>河南许昌</t>
        </is>
      </c>
      <c r="G146" s="10">
        <v>3.0</v>
      </c>
      <c r="H146" s="10"/>
      <c r="K146" s="9" t="inlineStr">
        <is>
          <t>中药材天地网</t>
        </is>
      </c>
      <c r="L146" s="8" t="inlineStr">
        <is>
          <t>https://www.zyctd.com/zixun/201/1104832.html</t>
        </is>
      </c>
      <c r="M146" s="8" t="inlineStr">
        <is>
          <t>河南省许昌市禹州市防风产新继续</t>
        </is>
      </c>
      <c r="I146" s="10">
        <f>IF(OR(G146="",H146=""),"",G146-H146)</f>
      </c>
      <c r="J146" s="11">
        <f>IF(OR(G146="",H146="",H146=0),"",(G146-H146)/H146)</f>
      </c>
    </row>
    <row r="147">
      <c r="A147" s="7" t="inlineStr">
        <is>
          <t>2026-03-13</t>
        </is>
      </c>
      <c r="B147" s="8" t="inlineStr">
        <is>
          <t>香加皮</t>
        </is>
      </c>
      <c r="C147" s="8" t="inlineStr">
        <is>
          <t>产地根部统货价格为</t>
        </is>
      </c>
      <c r="D147" s="9" t="inlineStr">
        <is>
          <t>元/kg</t>
        </is>
      </c>
      <c r="E147" s="8" t="inlineStr">
        <is>
          <t>产地</t>
        </is>
      </c>
      <c r="F147" s="8" t="inlineStr">
        <is>
          <t>甘肃</t>
        </is>
      </c>
      <c r="G147" s="10">
        <v>12.0</v>
      </c>
      <c r="H147" s="10"/>
      <c r="K147" s="9" t="inlineStr">
        <is>
          <t>中药材天地网</t>
        </is>
      </c>
      <c r="L147" s="8" t="inlineStr">
        <is>
          <t>https://www.zyctd.com/zixun/201/1104850.html</t>
        </is>
      </c>
      <c r="M147" s="8" t="inlineStr">
        <is>
          <t>甘肃省庆阳地区香加皮处于平缓走动</t>
        </is>
      </c>
      <c r="I147" s="10">
        <f>IF(OR(G147="",H147=""),"",G147-H147)</f>
      </c>
      <c r="J147" s="11">
        <f>IF(OR(G147="",H147="",H147=0),"",(G147-H147)/H147)</f>
      </c>
    </row>
    <row r="148">
      <c r="A148" s="7" t="inlineStr">
        <is>
          <t>2026-03-13</t>
        </is>
      </c>
      <c r="B148" s="8" t="inlineStr">
        <is>
          <t>鹿衔草</t>
        </is>
      </c>
      <c r="C148" s="8" t="inlineStr">
        <is>
          <t>本地鹿衔草毛草报价</t>
        </is>
      </c>
      <c r="D148" s="9" t="inlineStr">
        <is>
          <t>元/kg</t>
        </is>
      </c>
      <c r="E148" s="8" t="inlineStr">
        <is>
          <t>产地</t>
        </is>
      </c>
      <c r="F148" s="8" t="inlineStr">
        <is>
          <t>内蒙古呼伦贝尔市鄂伦春旗</t>
        </is>
      </c>
      <c r="G148" s="10">
        <v>15.0</v>
      </c>
      <c r="H148" s="10"/>
      <c r="K148" s="9" t="inlineStr">
        <is>
          <t>中药材天地网</t>
        </is>
      </c>
      <c r="L148" s="8" t="inlineStr">
        <is>
          <t>https://www.zyctd.com/zixun/201/1104824.html</t>
        </is>
      </c>
      <c r="M148" s="8" t="inlineStr">
        <is>
          <t>内蒙古呼伦贝尔市鄂伦春旗鹿衔草行情与前期保持平稳</t>
        </is>
      </c>
      <c r="I148" s="10">
        <f>IF(OR(G148="",H148=""),"",G148-H148)</f>
      </c>
      <c r="J148" s="11">
        <f>IF(OR(G148="",H148="",H148=0),"",(G148-H148)/H148)</f>
      </c>
    </row>
    <row r="149">
      <c r="A149" s="7" t="inlineStr">
        <is>
          <t>2026-03-13</t>
        </is>
      </c>
      <c r="B149" s="8" t="inlineStr">
        <is>
          <t>麦冬</t>
        </is>
      </c>
      <c r="C149" s="8" t="inlineStr">
        <is>
          <t>价格相比昨日回调</t>
        </is>
      </c>
      <c r="D149" s="9" t="inlineStr">
        <is>
          <t>元/kg</t>
        </is>
      </c>
      <c r="E149" s="8" t="inlineStr">
        <is>
          <t>产地</t>
        </is>
      </c>
      <c r="F149" s="8" t="inlineStr">
        <is>
          <t>2026年3月13日 四</t>
        </is>
      </c>
      <c r="G149" s="10">
        <v>3.0</v>
      </c>
      <c r="H149" s="10"/>
      <c r="K149" s="9" t="inlineStr">
        <is>
          <t>中药材天地网</t>
        </is>
      </c>
      <c r="L149" s="8" t="inlineStr">
        <is>
          <t>https://www.zyctd.com/zixun/201/1104784.html</t>
        </is>
      </c>
      <c r="M149" s="8" t="inlineStr">
        <is>
          <t>2026年3月13日 四川三台麦冬进入大量产新阶段</t>
        </is>
      </c>
      <c r="I149" s="10">
        <f>IF(OR(G149="",H149=""),"",G149-H149)</f>
      </c>
      <c r="J149" s="11">
        <f>IF(OR(G149="",H149="",H149=0),"",(G149-H149)/H149)</f>
      </c>
    </row>
    <row r="150">
      <c r="A150" s="7" t="inlineStr">
        <is>
          <t>2026-03-13</t>
        </is>
      </c>
      <c r="B150" s="8" t="inlineStr">
        <is>
          <t>麦冬</t>
        </is>
      </c>
      <c r="C150" s="8" t="inlineStr">
        <is>
          <t>统货</t>
        </is>
      </c>
      <c r="D150" s="9" t="inlineStr">
        <is>
          <t>元/kg</t>
        </is>
      </c>
      <c r="E150" s="8" t="inlineStr">
        <is>
          <t>产地</t>
        </is>
      </c>
      <c r="F150" s="8" t="inlineStr">
        <is>
          <t>四川三台</t>
        </is>
      </c>
      <c r="G150" s="10"/>
      <c r="H150" s="10"/>
      <c r="K150" s="9" t="inlineStr">
        <is>
          <t>中药材天地网</t>
        </is>
      </c>
      <c r="L150" s="8" t="inlineStr">
        <is>
          <t>https://www.zyctd.com/zixun/201/1104781.html</t>
        </is>
      </c>
      <c r="M150" s="8" t="inlineStr">
        <is>
          <t>四川省绵阳市三台县3月13号川麦冬行情阐述</t>
        </is>
      </c>
      <c r="I150" s="10">
        <f>IF(OR(G150="",H150=""),"",G150-H150)</f>
      </c>
      <c r="J150" s="11">
        <f>IF(OR(G150="",H150="",H150=0),"",(G150-H150)/H150)</f>
      </c>
    </row>
    <row r="151">
      <c r="A151" s="7" t="inlineStr">
        <is>
          <t>2026-03-13</t>
        </is>
      </c>
      <c r="B151" s="8" t="inlineStr">
        <is>
          <t>黄柏</t>
        </is>
      </c>
      <c r="C151" s="8" t="inlineStr">
        <is>
          <t>黄柏丝价格在</t>
        </is>
      </c>
      <c r="D151" s="9" t="inlineStr">
        <is>
          <t>元/kg</t>
        </is>
      </c>
      <c r="E151" s="8" t="inlineStr">
        <is>
          <t>产地</t>
        </is>
      </c>
      <c r="F151" s="8" t="inlineStr">
        <is>
          <t>湖北恩施州鹤峰</t>
        </is>
      </c>
      <c r="G151" s="10">
        <v>65.0</v>
      </c>
      <c r="H151" s="10"/>
      <c r="K151" s="9" t="inlineStr">
        <is>
          <t>中药材天地网</t>
        </is>
      </c>
      <c r="L151" s="8" t="inlineStr">
        <is>
          <t>https://www.zyctd.com/zixun/201/1104778.html</t>
        </is>
      </c>
      <c r="M151" s="8" t="inlineStr">
        <is>
          <t>湖北省恩施州鹤峰县黄柏走动畅快</t>
        </is>
      </c>
      <c r="I151" s="10">
        <f>IF(OR(G151="",H151=""),"",G151-H151)</f>
      </c>
      <c r="J151" s="11">
        <f>IF(OR(G151="",H151="",H151=0),"",(G151-H151)/H151)</f>
      </c>
    </row>
    <row r="152">
      <c r="A152" s="7" t="inlineStr">
        <is>
          <t>2026-03-13</t>
        </is>
      </c>
      <c r="B152" s="8" t="inlineStr">
        <is>
          <t>黄连</t>
        </is>
      </c>
      <c r="C152" s="8" t="inlineStr">
        <is>
          <t>黄连片价格在</t>
        </is>
      </c>
      <c r="D152" s="9" t="inlineStr">
        <is>
          <t>元/kg</t>
        </is>
      </c>
      <c r="E152" s="8" t="inlineStr">
        <is>
          <t>产地</t>
        </is>
      </c>
      <c r="F152" s="8" t="inlineStr">
        <is>
          <t>湖北恩施州利川</t>
        </is>
      </c>
      <c r="G152" s="10">
        <v>380.0</v>
      </c>
      <c r="H152" s="10"/>
      <c r="K152" s="9" t="inlineStr">
        <is>
          <t>中药材天地网</t>
        </is>
      </c>
      <c r="L152" s="8" t="inlineStr">
        <is>
          <t>https://www.zyctd.com/zixun/201/1104780.html</t>
        </is>
      </c>
      <c r="M152" s="8" t="inlineStr">
        <is>
          <t>湖北省恩施州利川市黄连走动畅快</t>
        </is>
      </c>
      <c r="I152" s="10">
        <f>IF(OR(G152="",H152=""),"",G152-H152)</f>
      </c>
      <c r="J152" s="11">
        <f>IF(OR(G152="",H152="",H152=0),"",(G152-H152)/H152)</f>
      </c>
    </row>
    <row r="153">
      <c r="A153" s="7" t="inlineStr">
        <is>
          <t>2026-03-13</t>
        </is>
      </c>
      <c r="B153" s="8" t="inlineStr">
        <is>
          <t>丹参</t>
        </is>
      </c>
      <c r="C153" s="8" t="inlineStr">
        <is>
          <t>交易价</t>
        </is>
      </c>
      <c r="D153" s="9" t="inlineStr">
        <is>
          <t>元/kg</t>
        </is>
      </c>
      <c r="E153" s="8" t="inlineStr">
        <is>
          <t>产地</t>
        </is>
      </c>
      <c r="F153" s="8" t="inlineStr">
        <is>
          <t>山西运城河津</t>
        </is>
      </c>
      <c r="G153" s="10">
        <v>14.0</v>
      </c>
      <c r="H153" s="10"/>
      <c r="K153" s="9" t="inlineStr">
        <is>
          <t>药通网</t>
        </is>
      </c>
      <c r="L153" s="8" t="inlineStr">
        <is>
          <t>https://www.yt1998.com/ytw/second/marketMgr/detail.jsp?acid=557212</t>
        </is>
      </c>
      <c r="M153" s="8" t="inlineStr">
        <is>
          <t>山西省运城地区河津市丹参价稳</t>
        </is>
      </c>
      <c r="I153" s="10">
        <f>IF(OR(G153="",H153=""),"",G153-H153)</f>
      </c>
      <c r="J153" s="11">
        <f>IF(OR(G153="",H153="",H153=0),"",(G153-H153)/H153)</f>
      </c>
    </row>
    <row r="154">
      <c r="A154" s="7" t="inlineStr">
        <is>
          <t>2026-03-13</t>
        </is>
      </c>
      <c r="B154" s="8" t="inlineStr">
        <is>
          <t>丹参</t>
        </is>
      </c>
      <c r="C154" s="8" t="inlineStr">
        <is>
          <t>鲜货收购价</t>
        </is>
      </c>
      <c r="D154" s="9" t="inlineStr">
        <is>
          <t>元/kg</t>
        </is>
      </c>
      <c r="E154" s="8" t="inlineStr">
        <is>
          <t>产地</t>
        </is>
      </c>
      <c r="F154" s="8" t="inlineStr">
        <is>
          <t>河南孟州</t>
        </is>
      </c>
      <c r="G154" s="10">
        <v>2.8</v>
      </c>
      <c r="H154" s="10"/>
      <c r="K154" s="9" t="inlineStr">
        <is>
          <t>药通网</t>
        </is>
      </c>
      <c r="L154" s="8" t="inlineStr">
        <is>
          <t>https://www.yt1998.com/ytw/second/marketMgr/detail.jsp?acid=557194</t>
        </is>
      </c>
      <c r="M154" s="8" t="inlineStr">
        <is>
          <t>河南省孟州市南庄镇丹参行情略有上调</t>
        </is>
      </c>
      <c r="I154" s="10">
        <f>IF(OR(G154="",H154=""),"",G154-H154)</f>
      </c>
      <c r="J154" s="11">
        <f>IF(OR(G154="",H154="",H154=0),"",(G154-H154)/H154)</f>
      </c>
    </row>
    <row r="155">
      <c r="A155" s="7" t="inlineStr">
        <is>
          <t>2026-03-13</t>
        </is>
      </c>
      <c r="B155" s="8" t="inlineStr">
        <is>
          <t>丹参</t>
        </is>
      </c>
      <c r="C155" s="8" t="inlineStr">
        <is>
          <t>鲜货交易价</t>
        </is>
      </c>
      <c r="D155" s="9" t="inlineStr">
        <is>
          <t>元/kg</t>
        </is>
      </c>
      <c r="E155" s="8" t="inlineStr">
        <is>
          <t>产地</t>
        </is>
      </c>
      <c r="F155" s="8" t="inlineStr">
        <is>
          <t>甘肃正宁</t>
        </is>
      </c>
      <c r="G155" s="10">
        <v>3.0</v>
      </c>
      <c r="H155" s="10"/>
      <c r="K155" s="9" t="inlineStr">
        <is>
          <t>药通网</t>
        </is>
      </c>
      <c r="L155" s="8" t="inlineStr">
        <is>
          <t>https://www.yt1998.com/ytw/second/marketMgr/detail.jsp?acid=557187</t>
        </is>
      </c>
      <c r="M155" s="8" t="inlineStr">
        <is>
          <t>甘肃省庆阳市正宁县丹参采挖继续</t>
        </is>
      </c>
      <c r="I155" s="10">
        <f>IF(OR(G155="",H155=""),"",G155-H155)</f>
      </c>
      <c r="J155" s="11">
        <f>IF(OR(G155="",H155="",H155=0),"",(G155-H155)/H155)</f>
      </c>
    </row>
    <row r="156">
      <c r="A156" s="7" t="inlineStr">
        <is>
          <t>2026-03-13</t>
        </is>
      </c>
      <c r="B156" s="8" t="inlineStr">
        <is>
          <t>仙茅</t>
        </is>
      </c>
      <c r="C156" s="8" t="inlineStr">
        <is>
          <t>缅甸货价格</t>
        </is>
      </c>
      <c r="D156" s="9" t="inlineStr">
        <is>
          <t>元/kg</t>
        </is>
      </c>
      <c r="E156" s="8" t="inlineStr">
        <is>
          <t>产地</t>
        </is>
      </c>
      <c r="F156" s="8" t="inlineStr">
        <is>
          <t>云南德宏州瑞丽</t>
        </is>
      </c>
      <c r="G156" s="10">
        <v>55.0</v>
      </c>
      <c r="H156" s="10"/>
      <c r="K156" s="9" t="inlineStr">
        <is>
          <t>药通网</t>
        </is>
      </c>
      <c r="L156" s="8" t="inlineStr">
        <is>
          <t>https://www.yt1998.com/ytw/second/marketMgr/detail.jsp?acid=557185</t>
        </is>
      </c>
      <c r="M156" s="8" t="inlineStr">
        <is>
          <t>云南省德宏州瑞丽市口岸仙茅货源较少</t>
        </is>
      </c>
      <c r="I156" s="10">
        <f>IF(OR(G156="",H156=""),"",G156-H156)</f>
      </c>
      <c r="J156" s="11">
        <f>IF(OR(G156="",H156="",H156=0),"",(G156-H156)/H156)</f>
      </c>
    </row>
    <row r="157">
      <c r="A157" s="7" t="inlineStr">
        <is>
          <t>2026-03-13</t>
        </is>
      </c>
      <c r="B157" s="8" t="inlineStr">
        <is>
          <t>侧柏叶</t>
        </is>
      </c>
      <c r="C157" s="8" t="inlineStr">
        <is>
          <t>饮片货</t>
        </is>
      </c>
      <c r="D157" s="9" t="inlineStr">
        <is>
          <t>元/kg</t>
        </is>
      </c>
      <c r="E157" s="8" t="inlineStr">
        <is>
          <t>产地</t>
        </is>
      </c>
      <c r="F157" s="8" t="inlineStr">
        <is>
          <t>山东枣庄</t>
        </is>
      </c>
      <c r="G157" s="10">
        <v>3.5</v>
      </c>
      <c r="H157" s="10"/>
      <c r="K157" s="9" t="inlineStr">
        <is>
          <t>药通网</t>
        </is>
      </c>
      <c r="L157" s="8" t="inlineStr">
        <is>
          <t>https://www.yt1998.com/ytw/second/marketMgr/detail.jsp?acid=557224</t>
        </is>
      </c>
      <c r="M157" s="8" t="inlineStr">
        <is>
          <t>山东省枣庄市阴平镇侧柏叶价稳</t>
        </is>
      </c>
      <c r="I157" s="10">
        <f>IF(OR(G157="",H157=""),"",G157-H157)</f>
      </c>
      <c r="J157" s="11">
        <f>IF(OR(G157="",H157="",H157=0),"",(G157-H157)/H157)</f>
      </c>
    </row>
    <row r="158">
      <c r="A158" s="7" t="inlineStr">
        <is>
          <t>2026-03-13</t>
        </is>
      </c>
      <c r="B158" s="8" t="inlineStr">
        <is>
          <t>八角茴香</t>
        </is>
      </c>
      <c r="C158" s="8" t="inlineStr">
        <is>
          <t>全干大红</t>
        </is>
      </c>
      <c r="D158" s="9" t="inlineStr">
        <is>
          <t>元/kg</t>
        </is>
      </c>
      <c r="E158" s="8" t="inlineStr">
        <is>
          <t>产地</t>
        </is>
      </c>
      <c r="F158" s="8" t="inlineStr">
        <is>
          <t>广西防城港市</t>
        </is>
      </c>
      <c r="G158" s="10">
        <v>25.0</v>
      </c>
      <c r="H158" s="10"/>
      <c r="K158" s="9" t="inlineStr">
        <is>
          <t>药通网</t>
        </is>
      </c>
      <c r="L158" s="8" t="inlineStr">
        <is>
          <t>https://www.yt1998.com/ytw/second/marketMgr/detail.jsp?acid=557211</t>
        </is>
      </c>
      <c r="M158" s="8" t="inlineStr">
        <is>
          <t>广西防城港市八角茴香价稳</t>
        </is>
      </c>
      <c r="I158" s="10">
        <f>IF(OR(G158="",H158=""),"",G158-H158)</f>
      </c>
      <c r="J158" s="11">
        <f>IF(OR(G158="",H158="",H158=0),"",(G158-H158)/H158)</f>
      </c>
    </row>
    <row r="159">
      <c r="A159" s="7" t="inlineStr">
        <is>
          <t>2026-03-13</t>
        </is>
      </c>
      <c r="B159" s="8" t="inlineStr">
        <is>
          <t>冬瓜皮</t>
        </is>
      </c>
      <c r="C159" s="8" t="inlineStr">
        <is>
          <t>一般统货</t>
        </is>
      </c>
      <c r="D159" s="9" t="inlineStr">
        <is>
          <t>元/kg</t>
        </is>
      </c>
      <c r="E159" s="8" t="inlineStr">
        <is>
          <t>产地</t>
        </is>
      </c>
      <c r="F159" s="8" t="inlineStr">
        <is>
          <t>河南孟州</t>
        </is>
      </c>
      <c r="G159" s="10">
        <v>8.0</v>
      </c>
      <c r="H159" s="10"/>
      <c r="K159" s="9" t="inlineStr">
        <is>
          <t>药通网</t>
        </is>
      </c>
      <c r="L159" s="8" t="inlineStr">
        <is>
          <t>https://www.yt1998.com/ytw/second/marketMgr/detail.jsp?acid=557197</t>
        </is>
      </c>
      <c r="M159" s="8" t="inlineStr">
        <is>
          <t>河南省孟州市南庄镇冬瓜皮货源走动情况良好</t>
        </is>
      </c>
      <c r="I159" s="10">
        <f>IF(OR(G159="",H159=""),"",G159-H159)</f>
      </c>
      <c r="J159" s="11">
        <f>IF(OR(G159="",H159="",H159=0),"",(G159-H159)/H159)</f>
      </c>
    </row>
    <row r="160">
      <c r="A160" s="7" t="inlineStr">
        <is>
          <t>2026-03-13</t>
        </is>
      </c>
      <c r="B160" s="8" t="inlineStr">
        <is>
          <t>半枝莲</t>
        </is>
      </c>
      <c r="C160" s="8" t="inlineStr">
        <is>
          <t>头茬统个</t>
        </is>
      </c>
      <c r="D160" s="9" t="inlineStr">
        <is>
          <t>元/kg</t>
        </is>
      </c>
      <c r="E160" s="8" t="inlineStr">
        <is>
          <t>产地</t>
        </is>
      </c>
      <c r="F160" s="8" t="inlineStr">
        <is>
          <t>河南驻马店确山</t>
        </is>
      </c>
      <c r="G160" s="10">
        <v>5.6</v>
      </c>
      <c r="H160" s="10"/>
      <c r="K160" s="9" t="inlineStr">
        <is>
          <t>药通网</t>
        </is>
      </c>
      <c r="L160" s="8" t="inlineStr">
        <is>
          <t>https://www.yt1998.com/ytw/second/marketMgr/detail.jsp?acid=557201</t>
        </is>
      </c>
      <c r="M160" s="8" t="inlineStr">
        <is>
          <t>河南省驻马店确山县竹沟镇半枝莲少商寻货</t>
        </is>
      </c>
      <c r="I160" s="10">
        <f>IF(OR(G160="",H160=""),"",G160-H160)</f>
      </c>
      <c r="J160" s="11">
        <f>IF(OR(G160="",H160="",H160=0),"",(G160-H160)/H160)</f>
      </c>
    </row>
    <row r="161">
      <c r="A161" s="7" t="inlineStr">
        <is>
          <t>2026-03-13</t>
        </is>
      </c>
      <c r="B161" s="8" t="inlineStr">
        <is>
          <t>土茯苓</t>
        </is>
      </c>
      <c r="C161" s="8" t="inlineStr">
        <is>
          <t>统货价格</t>
        </is>
      </c>
      <c r="D161" s="9" t="inlineStr">
        <is>
          <t>元/kg</t>
        </is>
      </c>
      <c r="E161" s="8" t="inlineStr">
        <is>
          <t>产地</t>
        </is>
      </c>
      <c r="F161" s="8" t="inlineStr">
        <is>
          <t>四川筠连</t>
        </is>
      </c>
      <c r="G161" s="10">
        <v>25.0</v>
      </c>
      <c r="H161" s="10"/>
      <c r="K161" s="9" t="inlineStr">
        <is>
          <t>药通网</t>
        </is>
      </c>
      <c r="L161" s="8" t="inlineStr">
        <is>
          <t>https://www.yt1998.com/ytw/second/marketMgr/detail.jsp?acid=557196</t>
        </is>
      </c>
      <c r="M161" s="8" t="inlineStr">
        <is>
          <t>四川省筠连县塘坝乡土茯苓货源零星交易为主</t>
        </is>
      </c>
      <c r="I161" s="10">
        <f>IF(OR(G161="",H161=""),"",G161-H161)</f>
      </c>
      <c r="J161" s="11">
        <f>IF(OR(G161="",H161="",H161=0),"",(G161-H161)/H161)</f>
      </c>
    </row>
    <row r="162">
      <c r="A162" s="7" t="inlineStr">
        <is>
          <t>2026-03-13</t>
        </is>
      </c>
      <c r="B162" s="8" t="inlineStr">
        <is>
          <t>土鳖虫</t>
        </is>
      </c>
      <c r="C162" s="8" t="inlineStr">
        <is>
          <t>小土鳖虫</t>
        </is>
      </c>
      <c r="D162" s="9" t="inlineStr">
        <is>
          <t>元/kg</t>
        </is>
      </c>
      <c r="E162" s="8" t="inlineStr">
        <is>
          <t>产地</t>
        </is>
      </c>
      <c r="F162" s="8" t="inlineStr">
        <is>
          <t>江苏丹阳</t>
        </is>
      </c>
      <c r="G162" s="10">
        <v>28.0</v>
      </c>
      <c r="H162" s="10"/>
      <c r="K162" s="9" t="inlineStr">
        <is>
          <t>药通网</t>
        </is>
      </c>
      <c r="L162" s="8" t="inlineStr">
        <is>
          <t>https://www.yt1998.com/ytw/second/marketMgr/detail.jsp?acid=557198</t>
        </is>
      </c>
      <c r="M162" s="8" t="inlineStr">
        <is>
          <t>江苏省丹阳市皇塘镇土鳖虫按需走动</t>
        </is>
      </c>
      <c r="I162" s="10">
        <f>IF(OR(G162="",H162=""),"",G162-H162)</f>
      </c>
      <c r="J162" s="11">
        <f>IF(OR(G162="",H162="",H162=0),"",(G162-H162)/H162)</f>
      </c>
    </row>
    <row r="163">
      <c r="A163" s="7" t="inlineStr">
        <is>
          <t>2026-03-13</t>
        </is>
      </c>
      <c r="B163" s="8" t="inlineStr">
        <is>
          <t>地丁</t>
        </is>
      </c>
      <c r="C163" s="8" t="inlineStr">
        <is>
          <t>统货售价</t>
        </is>
      </c>
      <c r="D163" s="9" t="inlineStr">
        <is>
          <t>元/kg</t>
        </is>
      </c>
      <c r="E163" s="8" t="inlineStr">
        <is>
          <t>产地</t>
        </is>
      </c>
      <c r="F163" s="8" t="inlineStr">
        <is>
          <t>山东日照</t>
        </is>
      </c>
      <c r="G163" s="10">
        <v>5.0</v>
      </c>
      <c r="H163" s="10"/>
      <c r="K163" s="9" t="inlineStr">
        <is>
          <t>药通网</t>
        </is>
      </c>
      <c r="L163" s="8" t="inlineStr">
        <is>
          <t>https://www.yt1998.com/ytw/second/marketMgr/detail.jsp?acid=557208</t>
        </is>
      </c>
      <c r="M163" s="8" t="inlineStr">
        <is>
          <t>山东省日照市莒县棋山镇地丁走动一般</t>
        </is>
      </c>
      <c r="I163" s="10">
        <f>IF(OR(G163="",H163=""),"",G163-H163)</f>
      </c>
      <c r="J163" s="11">
        <f>IF(OR(G163="",H163="",H163=0),"",(G163-H163)/H163)</f>
      </c>
    </row>
    <row r="164">
      <c r="A164" s="7" t="inlineStr">
        <is>
          <t>2026-03-13</t>
        </is>
      </c>
      <c r="B164" s="8" t="inlineStr">
        <is>
          <t>大黄</t>
        </is>
      </c>
      <c r="C164" s="8" t="inlineStr">
        <is>
          <t>手工切片价格</t>
        </is>
      </c>
      <c r="D164" s="9" t="inlineStr">
        <is>
          <t>元/kg</t>
        </is>
      </c>
      <c r="E164" s="8" t="inlineStr">
        <is>
          <t>产地</t>
        </is>
      </c>
      <c r="F164" s="8" t="inlineStr">
        <is>
          <t>甘肃正宁</t>
        </is>
      </c>
      <c r="G164" s="10">
        <v>4.6</v>
      </c>
      <c r="H164" s="10"/>
      <c r="K164" s="9" t="inlineStr">
        <is>
          <t>药通网</t>
        </is>
      </c>
      <c r="L164" s="8" t="inlineStr">
        <is>
          <t>https://www.yt1998.com/ytw/second/marketMgr/detail.jsp?acid=557233</t>
        </is>
      </c>
      <c r="M164" s="8" t="inlineStr">
        <is>
          <t>甘肃省庆阳市正宁县大黄价格小幅下滑</t>
        </is>
      </c>
      <c r="I164" s="10">
        <f>IF(OR(G164="",H164=""),"",G164-H164)</f>
      </c>
      <c r="J164" s="11">
        <f>IF(OR(G164="",H164="",H164=0),"",(G164-H164)/H164)</f>
      </c>
    </row>
    <row r="165">
      <c r="A165" s="7" t="inlineStr">
        <is>
          <t>2026-03-13</t>
        </is>
      </c>
      <c r="B165" s="8" t="inlineStr">
        <is>
          <t>山东省日照市莒县棋山镇丹</t>
        </is>
      </c>
      <c r="C165" s="8" t="inlineStr">
        <is>
          <t>药厂货</t>
        </is>
      </c>
      <c r="D165" s="9" t="inlineStr">
        <is>
          <t>元/kg</t>
        </is>
      </c>
      <c r="E165" s="8" t="inlineStr">
        <is>
          <t>产地</t>
        </is>
      </c>
      <c r="F165" s="8" t="inlineStr">
        <is>
          <t>山东日照</t>
        </is>
      </c>
      <c r="G165" s="10">
        <v>10.0</v>
      </c>
      <c r="H165" s="10"/>
      <c r="K165" s="9" t="inlineStr">
        <is>
          <t>药通网</t>
        </is>
      </c>
      <c r="L165" s="8" t="inlineStr">
        <is>
          <t>https://www.yt1998.com/ytw/second/marketMgr/detail.jsp?acid=557193</t>
        </is>
      </c>
      <c r="M165" s="8" t="inlineStr">
        <is>
          <t>山东省日照市莒县棋山镇丹参价格暂稳</t>
        </is>
      </c>
      <c r="I165" s="10">
        <f>IF(OR(G165="",H165=""),"",G165-H165)</f>
      </c>
      <c r="J165" s="11">
        <f>IF(OR(G165="",H165="",H165=0),"",(G165-H165)/H165)</f>
      </c>
    </row>
    <row r="166">
      <c r="A166" s="7" t="inlineStr">
        <is>
          <t>2026-03-13</t>
        </is>
      </c>
      <c r="B166" s="8" t="inlineStr">
        <is>
          <t>山桃仁</t>
        </is>
      </c>
      <c r="C166" s="8" t="inlineStr">
        <is>
          <t>统货售价</t>
        </is>
      </c>
      <c r="D166" s="9" t="inlineStr">
        <is>
          <t>元/kg</t>
        </is>
      </c>
      <c r="E166" s="8" t="inlineStr">
        <is>
          <t>产地</t>
        </is>
      </c>
      <c r="F166" s="8" t="inlineStr">
        <is>
          <t>甘肃平凉</t>
        </is>
      </c>
      <c r="G166" s="10">
        <v>35.0</v>
      </c>
      <c r="H166" s="10"/>
      <c r="K166" s="9" t="inlineStr">
        <is>
          <t>药通网</t>
        </is>
      </c>
      <c r="L166" s="8" t="inlineStr">
        <is>
          <t>https://www.yt1998.com/ytw/second/marketMgr/detail.jsp?acid=557239</t>
        </is>
      </c>
      <c r="M166" s="8" t="inlineStr">
        <is>
          <t>甘肃省平凉市华亭市山桃仁寻货商家不多</t>
        </is>
      </c>
      <c r="I166" s="10">
        <f>IF(OR(G166="",H166=""),"",G166-H166)</f>
      </c>
      <c r="J166" s="11">
        <f>IF(OR(G166="",H166="",H166=0),"",(G166-H166)/H166)</f>
      </c>
    </row>
    <row r="167">
      <c r="A167" s="7" t="inlineStr">
        <is>
          <t>2026-03-13</t>
        </is>
      </c>
      <c r="B167" s="8" t="inlineStr">
        <is>
          <t>山茱萸</t>
        </is>
      </c>
      <c r="C167" s="8" t="inlineStr">
        <is>
          <t>药厂货</t>
        </is>
      </c>
      <c r="D167" s="9" t="inlineStr">
        <is>
          <t>元/kg</t>
        </is>
      </c>
      <c r="E167" s="8" t="inlineStr">
        <is>
          <t>产地</t>
        </is>
      </c>
      <c r="F167" s="8" t="inlineStr">
        <is>
          <t>河南洛阳市栾川县</t>
        </is>
      </c>
      <c r="G167" s="10">
        <v>40.0</v>
      </c>
      <c r="H167" s="10"/>
      <c r="K167" s="9" t="inlineStr">
        <is>
          <t>药通网</t>
        </is>
      </c>
      <c r="L167" s="8" t="inlineStr">
        <is>
          <t>https://www.yt1998.com/ytw/second/marketMgr/detail.jsp?acid=557210</t>
        </is>
      </c>
      <c r="M167" s="8" t="inlineStr">
        <is>
          <t>河南洛阳市栾川县山茱萸行情略有下调</t>
        </is>
      </c>
      <c r="I167" s="10">
        <f>IF(OR(G167="",H167=""),"",G167-H167)</f>
      </c>
      <c r="J167" s="11">
        <f>IF(OR(G167="",H167="",H167=0),"",(G167-H167)/H167)</f>
      </c>
    </row>
    <row r="168">
      <c r="A168" s="7" t="inlineStr">
        <is>
          <t>2026-03-13</t>
        </is>
      </c>
      <c r="B168" s="8" t="inlineStr">
        <is>
          <t>广枣</t>
        </is>
      </c>
      <c r="C168" s="8" t="inlineStr">
        <is>
          <t>明显变化，现统装货交易价</t>
        </is>
      </c>
      <c r="D168" s="9" t="inlineStr">
        <is>
          <t>元/kg</t>
        </is>
      </c>
      <c r="E168" s="8" t="inlineStr">
        <is>
          <t>产地</t>
        </is>
      </c>
      <c r="F168" s="8" t="inlineStr">
        <is>
          <t>湖南永州零陵区邮亭圩</t>
        </is>
      </c>
      <c r="G168" s="10">
        <v>5.0</v>
      </c>
      <c r="H168" s="10"/>
      <c r="K168" s="9" t="inlineStr">
        <is>
          <t>药通网</t>
        </is>
      </c>
      <c r="L168" s="8" t="inlineStr">
        <is>
          <t>https://www.yt1998.com/ytw/second/marketMgr/detail.jsp?acid=557199</t>
        </is>
      </c>
      <c r="M168" s="8" t="inlineStr">
        <is>
          <t>湖南永州零陵区邮亭圩广枣价稳</t>
        </is>
      </c>
      <c r="I168" s="10">
        <f>IF(OR(G168="",H168=""),"",G168-H168)</f>
      </c>
      <c r="J168" s="11">
        <f>IF(OR(G168="",H168="",H168=0),"",(G168-H168)/H168)</f>
      </c>
    </row>
    <row r="169">
      <c r="A169" s="7" t="inlineStr">
        <is>
          <t>2026-03-13</t>
        </is>
      </c>
      <c r="B169" s="8" t="inlineStr">
        <is>
          <t>木姜子</t>
        </is>
      </c>
      <c r="C169" s="8" t="inlineStr">
        <is>
          <t>统装货交易价</t>
        </is>
      </c>
      <c r="D169" s="9" t="inlineStr">
        <is>
          <t>元/kg</t>
        </is>
      </c>
      <c r="E169" s="8" t="inlineStr">
        <is>
          <t>产地</t>
        </is>
      </c>
      <c r="F169" s="8" t="inlineStr">
        <is>
          <t>湖南永州零陵区邮亭圩</t>
        </is>
      </c>
      <c r="G169" s="10">
        <v>16.0</v>
      </c>
      <c r="H169" s="10"/>
      <c r="K169" s="9" t="inlineStr">
        <is>
          <t>药通网</t>
        </is>
      </c>
      <c r="L169" s="8" t="inlineStr">
        <is>
          <t>https://www.yt1998.com/ytw/second/marketMgr/detail.jsp?acid=557200</t>
        </is>
      </c>
      <c r="M169" s="8" t="inlineStr">
        <is>
          <t>湖南永州零陵区邮亭圩木姜子走动依然不快</t>
        </is>
      </c>
      <c r="I169" s="10">
        <f>IF(OR(G169="",H169=""),"",G169-H169)</f>
      </c>
      <c r="J169" s="11">
        <f>IF(OR(G169="",H169="",H169=0),"",(G169-H169)/H169)</f>
      </c>
    </row>
    <row r="170">
      <c r="A170" s="7" t="inlineStr">
        <is>
          <t>2026-03-13</t>
        </is>
      </c>
      <c r="B170" s="8" t="inlineStr">
        <is>
          <t>杜仲</t>
        </is>
      </c>
      <c r="C170" s="8" t="inlineStr">
        <is>
          <t>统皮</t>
        </is>
      </c>
      <c r="D170" s="9" t="inlineStr">
        <is>
          <t>元/kg</t>
        </is>
      </c>
      <c r="E170" s="8" t="inlineStr">
        <is>
          <t>产地</t>
        </is>
      </c>
      <c r="F170" s="8" t="inlineStr">
        <is>
          <t>陕西周至</t>
        </is>
      </c>
      <c r="G170" s="10">
        <v>12.0</v>
      </c>
      <c r="H170" s="10"/>
      <c r="K170" s="9" t="inlineStr">
        <is>
          <t>药通网</t>
        </is>
      </c>
      <c r="L170" s="8" t="inlineStr">
        <is>
          <t>https://www.yt1998.com/ytw/second/marketMgr/detail.jsp?acid=557225</t>
        </is>
      </c>
      <c r="M170" s="8" t="inlineStr">
        <is>
          <t>陕西省西安市周至县杜仲行情平稳</t>
        </is>
      </c>
      <c r="I170" s="10">
        <f>IF(OR(G170="",H170=""),"",G170-H170)</f>
      </c>
      <c r="J170" s="11">
        <f>IF(OR(G170="",H170="",H170=0),"",(G170-H170)/H170)</f>
      </c>
    </row>
    <row r="171">
      <c r="A171" s="7" t="inlineStr">
        <is>
          <t>2026-03-13</t>
        </is>
      </c>
      <c r="B171" s="8" t="inlineStr">
        <is>
          <t>枳实</t>
        </is>
      </c>
      <c r="C171" s="8" t="inlineStr">
        <is>
          <t>上扬，现1.0-2.0的对开货</t>
        </is>
      </c>
      <c r="D171" s="9" t="inlineStr">
        <is>
          <t>元/kg</t>
        </is>
      </c>
      <c r="E171" s="8" t="inlineStr">
        <is>
          <t>产地</t>
        </is>
      </c>
      <c r="F171" s="8" t="inlineStr">
        <is>
          <t>江西黎川</t>
        </is>
      </c>
      <c r="G171" s="10">
        <v>21.0</v>
      </c>
      <c r="H171" s="10"/>
      <c r="K171" s="9" t="inlineStr">
        <is>
          <t>药通网</t>
        </is>
      </c>
      <c r="L171" s="8" t="inlineStr">
        <is>
          <t>https://www.yt1998.com/ytw/second/marketMgr/detail.jsp?acid=557205</t>
        </is>
      </c>
      <c r="M171" s="8" t="inlineStr">
        <is>
          <t>江西省抚州市黎川县枳实好货不多</t>
        </is>
      </c>
      <c r="I171" s="10">
        <f>IF(OR(G171="",H171=""),"",G171-H171)</f>
      </c>
      <c r="J171" s="11">
        <f>IF(OR(G171="",H171="",H171=0),"",(G171-H171)/H171)</f>
      </c>
    </row>
    <row r="172">
      <c r="A172" s="7" t="inlineStr">
        <is>
          <t>2026-03-13</t>
        </is>
      </c>
      <c r="B172" s="8" t="inlineStr">
        <is>
          <t>柴胡</t>
        </is>
      </c>
      <c r="C172" s="8" t="inlineStr">
        <is>
          <t>硬切货价格</t>
        </is>
      </c>
      <c r="D172" s="9" t="inlineStr">
        <is>
          <t>元/kg</t>
        </is>
      </c>
      <c r="E172" s="8" t="inlineStr">
        <is>
          <t>产地</t>
        </is>
      </c>
      <c r="F172" s="8" t="inlineStr">
        <is>
          <t>甘肃正宁</t>
        </is>
      </c>
      <c r="G172" s="10">
        <v>80.0</v>
      </c>
      <c r="H172" s="10"/>
      <c r="K172" s="9" t="inlineStr">
        <is>
          <t>药通网</t>
        </is>
      </c>
      <c r="L172" s="8" t="inlineStr">
        <is>
          <t>https://www.yt1998.com/ytw/second/marketMgr/detail.jsp?acid=557186</t>
        </is>
      </c>
      <c r="M172" s="8" t="inlineStr">
        <is>
          <t>甘肃省庆阳市正宁县柴胡行情坚挺</t>
        </is>
      </c>
      <c r="I172" s="10">
        <f>IF(OR(G172="",H172=""),"",G172-H172)</f>
      </c>
      <c r="J172" s="11">
        <f>IF(OR(G172="",H172="",H172=0),"",(G172-H172)/H172)</f>
      </c>
    </row>
    <row r="173">
      <c r="A173" s="7" t="inlineStr">
        <is>
          <t>2026-03-13</t>
        </is>
      </c>
      <c r="B173" s="8" t="inlineStr">
        <is>
          <t>桂皮</t>
        </is>
      </c>
      <c r="C173" s="8" t="inlineStr">
        <is>
          <t>鲜生皮农户采购价</t>
        </is>
      </c>
      <c r="D173" s="9" t="inlineStr">
        <is>
          <t>元/kg</t>
        </is>
      </c>
      <c r="E173" s="8" t="inlineStr">
        <is>
          <t>产地</t>
        </is>
      </c>
      <c r="F173" s="8" t="inlineStr">
        <is>
          <t>广西防城港市</t>
        </is>
      </c>
      <c r="G173" s="10">
        <v>6.0</v>
      </c>
      <c r="H173" s="10"/>
      <c r="K173" s="9" t="inlineStr">
        <is>
          <t>药通网</t>
        </is>
      </c>
      <c r="L173" s="8" t="inlineStr">
        <is>
          <t>https://www.yt1998.com/ytw/second/marketMgr/detail.jsp?acid=557209</t>
        </is>
      </c>
      <c r="M173" s="8" t="inlineStr">
        <is>
          <t>广西省防城港市肉桂产新</t>
        </is>
      </c>
      <c r="I173" s="10">
        <f>IF(OR(G173="",H173=""),"",G173-H173)</f>
      </c>
      <c r="J173" s="11">
        <f>IF(OR(G173="",H173="",H173=0),"",(G173-H173)/H173)</f>
      </c>
    </row>
    <row r="174">
      <c r="A174" s="7" t="inlineStr">
        <is>
          <t>2026-03-13</t>
        </is>
      </c>
      <c r="B174" s="8" t="inlineStr">
        <is>
          <t>水半夏</t>
        </is>
      </c>
      <c r="C174" s="8" t="inlineStr">
        <is>
          <t>统装货</t>
        </is>
      </c>
      <c r="D174" s="9" t="inlineStr">
        <is>
          <t>元/kg</t>
        </is>
      </c>
      <c r="E174" s="8" t="inlineStr">
        <is>
          <t>产地</t>
        </is>
      </c>
      <c r="F174" s="8" t="inlineStr">
        <is>
          <t>江西信丰</t>
        </is>
      </c>
      <c r="G174" s="10">
        <v>9.5</v>
      </c>
      <c r="H174" s="10"/>
      <c r="K174" s="9" t="inlineStr">
        <is>
          <t>药通网</t>
        </is>
      </c>
      <c r="L174" s="8" t="inlineStr">
        <is>
          <t>https://www.yt1998.com/ytw/second/marketMgr/detail.jsp?acid=557204</t>
        </is>
      </c>
      <c r="M174" s="8" t="inlineStr">
        <is>
          <t>江西省赣州市信丰县水半夏走畅</t>
        </is>
      </c>
      <c r="I174" s="10">
        <f>IF(OR(G174="",H174=""),"",G174-H174)</f>
      </c>
      <c r="J174" s="11">
        <f>IF(OR(G174="",H174="",H174=0),"",(G174-H174)/H174)</f>
      </c>
    </row>
    <row r="175">
      <c r="A175" s="7" t="inlineStr">
        <is>
          <t>2026-03-13</t>
        </is>
      </c>
      <c r="B175" s="8" t="inlineStr">
        <is>
          <t>淫羊藿</t>
        </is>
      </c>
      <c r="C175" s="8" t="inlineStr">
        <is>
          <t>野生小圆叶统货</t>
        </is>
      </c>
      <c r="D175" s="9" t="inlineStr">
        <is>
          <t>元/kg</t>
        </is>
      </c>
      <c r="E175" s="8" t="inlineStr">
        <is>
          <t>产地</t>
        </is>
      </c>
      <c r="F175" s="8" t="inlineStr">
        <is>
          <t>陕西宝鸡</t>
        </is>
      </c>
      <c r="G175" s="10">
        <v>110.0</v>
      </c>
      <c r="H175" s="10"/>
      <c r="K175" s="9" t="inlineStr">
        <is>
          <t>药通网</t>
        </is>
      </c>
      <c r="L175" s="8" t="inlineStr">
        <is>
          <t>https://www.yt1998.com/ytw/second/marketMgr/detail.jsp?acid=557191</t>
        </is>
      </c>
      <c r="M175" s="8" t="inlineStr">
        <is>
          <t>陕西省宝鸡市眉县横渠镇淫羊藿行情小幅上调</t>
        </is>
      </c>
      <c r="I175" s="10">
        <f>IF(OR(G175="",H175=""),"",G175-H175)</f>
      </c>
      <c r="J175" s="11">
        <f>IF(OR(G175="",H175="",H175=0),"",(G175-H175)/H175)</f>
      </c>
    </row>
    <row r="176">
      <c r="A176" s="7" t="inlineStr">
        <is>
          <t>2026-03-13</t>
        </is>
      </c>
      <c r="B176" s="8" t="inlineStr">
        <is>
          <t>猪苓</t>
        </is>
      </c>
      <c r="C176" s="8" t="inlineStr">
        <is>
          <t>小统货</t>
        </is>
      </c>
      <c r="D176" s="9" t="inlineStr">
        <is>
          <t>元/kg</t>
        </is>
      </c>
      <c r="E176" s="8" t="inlineStr">
        <is>
          <t>产地</t>
        </is>
      </c>
      <c r="F176" s="8" t="inlineStr">
        <is>
          <t>陕西周至</t>
        </is>
      </c>
      <c r="G176" s="10">
        <v>105.0</v>
      </c>
      <c r="H176" s="10"/>
      <c r="K176" s="9" t="inlineStr">
        <is>
          <t>药通网</t>
        </is>
      </c>
      <c r="L176" s="8" t="inlineStr">
        <is>
          <t>https://www.yt1998.com/ytw/second/marketMgr/detail.jsp?acid=557232</t>
        </is>
      </c>
      <c r="M176" s="8" t="inlineStr">
        <is>
          <t>陕西省西安市周至县猪苓走动顺畅</t>
        </is>
      </c>
      <c r="I176" s="10">
        <f>IF(OR(G176="",H176=""),"",G176-H176)</f>
      </c>
      <c r="J176" s="11">
        <f>IF(OR(G176="",H176="",H176=0),"",(G176-H176)/H176)</f>
      </c>
    </row>
    <row r="177">
      <c r="A177" s="7" t="inlineStr">
        <is>
          <t>2026-03-13</t>
        </is>
      </c>
      <c r="B177" s="8" t="inlineStr">
        <is>
          <t>玄参</t>
        </is>
      </c>
      <c r="C177" s="8" t="inlineStr">
        <is>
          <t>鲜货收购价</t>
        </is>
      </c>
      <c r="D177" s="9" t="inlineStr">
        <is>
          <t>元/kg</t>
        </is>
      </c>
      <c r="E177" s="8" t="inlineStr">
        <is>
          <t>产地</t>
        </is>
      </c>
      <c r="F177" s="8" t="inlineStr">
        <is>
          <t>河南孟州</t>
        </is>
      </c>
      <c r="G177" s="10">
        <v>1.3</v>
      </c>
      <c r="H177" s="10"/>
      <c r="K177" s="9" t="inlineStr">
        <is>
          <t>药通网</t>
        </is>
      </c>
      <c r="L177" s="8" t="inlineStr">
        <is>
          <t>https://www.yt1998.com/ytw/second/marketMgr/detail.jsp?acid=557195</t>
        </is>
      </c>
      <c r="M177" s="8" t="inlineStr">
        <is>
          <t>河南省孟州市南庄镇玄参产新基本结束</t>
        </is>
      </c>
      <c r="I177" s="10">
        <f>IF(OR(G177="",H177=""),"",G177-H177)</f>
      </c>
      <c r="J177" s="11">
        <f>IF(OR(G177="",H177="",H177=0),"",(G177-H177)/H177)</f>
      </c>
    </row>
    <row r="178">
      <c r="A178" s="7" t="inlineStr">
        <is>
          <t>2026-03-13</t>
        </is>
      </c>
      <c r="B178" s="8" t="inlineStr">
        <is>
          <t>珠子参</t>
        </is>
      </c>
      <c r="C178" s="8" t="inlineStr">
        <is>
          <t>统货</t>
        </is>
      </c>
      <c r="D178" s="9" t="inlineStr">
        <is>
          <t>元/kg</t>
        </is>
      </c>
      <c r="E178" s="8" t="inlineStr">
        <is>
          <t>产地</t>
        </is>
      </c>
      <c r="F178" s="8" t="inlineStr">
        <is>
          <t>陕西周至</t>
        </is>
      </c>
      <c r="G178" s="10">
        <v>550.0</v>
      </c>
      <c r="H178" s="10"/>
      <c r="K178" s="9" t="inlineStr">
        <is>
          <t>药通网</t>
        </is>
      </c>
      <c r="L178" s="8" t="inlineStr">
        <is>
          <t>https://www.yt1998.com/ytw/second/marketMgr/detail.jsp?acid=557231</t>
        </is>
      </c>
      <c r="M178" s="8" t="inlineStr">
        <is>
          <t>陕西省西安市周至县珠子参行情反弹</t>
        </is>
      </c>
      <c r="I178" s="10">
        <f>IF(OR(G178="",H178=""),"",G178-H178)</f>
      </c>
      <c r="J178" s="11">
        <f>IF(OR(G178="",H178="",H178=0),"",(G178-H178)/H178)</f>
      </c>
    </row>
    <row r="179">
      <c r="A179" s="7" t="inlineStr">
        <is>
          <t>2026-03-13</t>
        </is>
      </c>
      <c r="B179" s="8" t="inlineStr">
        <is>
          <t>生地</t>
        </is>
      </c>
      <c r="C179" s="8" t="inlineStr">
        <is>
          <t>上扬，现统装货</t>
        </is>
      </c>
      <c r="D179" s="9" t="inlineStr">
        <is>
          <t>元/kg</t>
        </is>
      </c>
      <c r="E179" s="8" t="inlineStr">
        <is>
          <t>产地</t>
        </is>
      </c>
      <c r="F179" s="8" t="inlineStr">
        <is>
          <t>山西运城河津</t>
        </is>
      </c>
      <c r="G179" s="10">
        <v>11.0</v>
      </c>
      <c r="H179" s="10"/>
      <c r="K179" s="9" t="inlineStr">
        <is>
          <t>药通网</t>
        </is>
      </c>
      <c r="L179" s="8" t="inlineStr">
        <is>
          <t>https://www.yt1998.com/ytw/second/marketMgr/detail.jsp?acid=557218</t>
        </is>
      </c>
      <c r="M179" s="8" t="inlineStr">
        <is>
          <t>山西省运城地区河津市生地走畅价升</t>
        </is>
      </c>
      <c r="I179" s="10">
        <f>IF(OR(G179="",H179=""),"",G179-H179)</f>
      </c>
      <c r="J179" s="11">
        <f>IF(OR(G179="",H179="",H179=0),"",(G179-H179)/H179)</f>
      </c>
    </row>
    <row r="180">
      <c r="A180" s="7" t="inlineStr">
        <is>
          <t>2026-03-13</t>
        </is>
      </c>
      <c r="B180" s="8" t="inlineStr">
        <is>
          <t>白术</t>
        </is>
      </c>
      <c r="C180" s="8" t="inlineStr">
        <is>
          <t>统货</t>
        </is>
      </c>
      <c r="D180" s="9" t="inlineStr">
        <is>
          <t>元/kg</t>
        </is>
      </c>
      <c r="E180" s="8" t="inlineStr">
        <is>
          <t>亳州</t>
        </is>
      </c>
      <c r="F180" s="8" t="inlineStr">
        <is>
          <t>安徽亳州</t>
        </is>
      </c>
      <c r="G180" s="10"/>
      <c r="H180" s="10"/>
      <c r="K180" s="9" t="inlineStr">
        <is>
          <t>药通网</t>
        </is>
      </c>
      <c r="L180" s="8" t="inlineStr">
        <is>
          <t>https://www.yt1998.com/ytw/second/marketMgr/detail.jsp?acid=557183</t>
        </is>
      </c>
      <c r="M180" s="8" t="inlineStr">
        <is>
          <t>3月13日安徽省亳州市辛集白术交易市场</t>
        </is>
      </c>
      <c r="I180" s="10">
        <f>IF(OR(G180="",H180=""),"",G180-H180)</f>
      </c>
      <c r="J180" s="11">
        <f>IF(OR(G180="",H180="",H180=0),"",(G180-H180)/H180)</f>
      </c>
    </row>
    <row r="181">
      <c r="A181" s="7" t="inlineStr">
        <is>
          <t>2026-03-13</t>
        </is>
      </c>
      <c r="B181" s="8" t="inlineStr">
        <is>
          <t>白花蛇舌草</t>
        </is>
      </c>
      <c r="C181" s="8" t="inlineStr">
        <is>
          <t>陈一年选个</t>
        </is>
      </c>
      <c r="D181" s="9" t="inlineStr">
        <is>
          <t>元/kg</t>
        </is>
      </c>
      <c r="E181" s="8" t="inlineStr">
        <is>
          <t>产地</t>
        </is>
      </c>
      <c r="F181" s="8" t="inlineStr">
        <is>
          <t>河南驻马店确山</t>
        </is>
      </c>
      <c r="G181" s="10">
        <v>5.5</v>
      </c>
      <c r="H181" s="10"/>
      <c r="K181" s="9" t="inlineStr">
        <is>
          <t>药通网</t>
        </is>
      </c>
      <c r="L181" s="8" t="inlineStr">
        <is>
          <t>https://www.yt1998.com/ytw/second/marketMgr/detail.jsp?acid=557203</t>
        </is>
      </c>
      <c r="M181" s="8" t="inlineStr">
        <is>
          <t>河南省驻马店确山县竹沟镇白花蛇舌草走动放缓</t>
        </is>
      </c>
      <c r="I181" s="10">
        <f>IF(OR(G181="",H181=""),"",G181-H181)</f>
      </c>
      <c r="J181" s="11">
        <f>IF(OR(G181="",H181="",H181=0),"",(G181-H181)/H181)</f>
      </c>
    </row>
    <row r="182">
      <c r="A182" s="7" t="inlineStr">
        <is>
          <t>2026-03-13</t>
        </is>
      </c>
      <c r="B182" s="8" t="inlineStr">
        <is>
          <t>皂角刺</t>
        </is>
      </c>
      <c r="C182" s="8" t="inlineStr">
        <is>
          <t>新统货</t>
        </is>
      </c>
      <c r="D182" s="9" t="inlineStr">
        <is>
          <t>元/kg</t>
        </is>
      </c>
      <c r="E182" s="8" t="inlineStr">
        <is>
          <t>产地</t>
        </is>
      </c>
      <c r="F182" s="8" t="inlineStr">
        <is>
          <t>山东枣庄</t>
        </is>
      </c>
      <c r="G182" s="10">
        <v>20.0</v>
      </c>
      <c r="H182" s="10"/>
      <c r="K182" s="9" t="inlineStr">
        <is>
          <t>药通网</t>
        </is>
      </c>
      <c r="L182" s="8" t="inlineStr">
        <is>
          <t>https://www.yt1998.com/ytw/second/marketMgr/detail.jsp?acid=557219</t>
        </is>
      </c>
      <c r="M182" s="8" t="inlineStr">
        <is>
          <t>山东省枣庄市阴平镇皂角刺少商寻货</t>
        </is>
      </c>
      <c r="I182" s="10">
        <f>IF(OR(G182="",H182=""),"",G182-H182)</f>
      </c>
      <c r="J182" s="11">
        <f>IF(OR(G182="",H182="",H182=0),"",(G182-H182)/H182)</f>
      </c>
    </row>
    <row r="183">
      <c r="A183" s="7" t="inlineStr">
        <is>
          <t>2026-03-13</t>
        </is>
      </c>
      <c r="B183" s="8" t="inlineStr">
        <is>
          <t>益母草</t>
        </is>
      </c>
      <c r="C183" s="8" t="inlineStr">
        <is>
          <t>饮片货</t>
        </is>
      </c>
      <c r="D183" s="9" t="inlineStr">
        <is>
          <t>元/kg</t>
        </is>
      </c>
      <c r="E183" s="8" t="inlineStr">
        <is>
          <t>产地</t>
        </is>
      </c>
      <c r="F183" s="8" t="inlineStr">
        <is>
          <t>河南桐柏</t>
        </is>
      </c>
      <c r="G183" s="10">
        <v>4.0</v>
      </c>
      <c r="H183" s="10"/>
      <c r="K183" s="9" t="inlineStr">
        <is>
          <t>药通网</t>
        </is>
      </c>
      <c r="L183" s="8" t="inlineStr">
        <is>
          <t>https://www.yt1998.com/ytw/second/marketMgr/detail.jsp?acid=557217</t>
        </is>
      </c>
      <c r="M183" s="8" t="inlineStr">
        <is>
          <t>河南省南阳市桐柏县益母草正常走动</t>
        </is>
      </c>
      <c r="I183" s="10">
        <f>IF(OR(G183="",H183=""),"",G183-H183)</f>
      </c>
      <c r="J183" s="11">
        <f>IF(OR(G183="",H183="",H183=0),"",(G183-H183)/H183)</f>
      </c>
    </row>
    <row r="184">
      <c r="A184" s="7" t="inlineStr">
        <is>
          <t>2026-03-13</t>
        </is>
      </c>
      <c r="B184" s="8" t="inlineStr">
        <is>
          <t>石榴皮</t>
        </is>
      </c>
      <c r="C184" s="8" t="inlineStr">
        <is>
          <t>手选饮片货</t>
        </is>
      </c>
      <c r="D184" s="9" t="inlineStr">
        <is>
          <t>元/kg</t>
        </is>
      </c>
      <c r="E184" s="8" t="inlineStr">
        <is>
          <t>产地</t>
        </is>
      </c>
      <c r="F184" s="8" t="inlineStr">
        <is>
          <t>山东枣庄</t>
        </is>
      </c>
      <c r="G184" s="10">
        <v>6.0</v>
      </c>
      <c r="H184" s="10"/>
      <c r="K184" s="9" t="inlineStr">
        <is>
          <t>药通网</t>
        </is>
      </c>
      <c r="L184" s="8" t="inlineStr">
        <is>
          <t>https://www.yt1998.com/ytw/second/marketMgr/detail.jsp?acid=557223</t>
        </is>
      </c>
      <c r="M184" s="8" t="inlineStr">
        <is>
          <t>山东省枣庄市阴平镇石榴皮按需走销</t>
        </is>
      </c>
      <c r="I184" s="10">
        <f>IF(OR(G184="",H184=""),"",G184-H184)</f>
      </c>
      <c r="J184" s="11">
        <f>IF(OR(G184="",H184="",H184=0),"",(G184-H184)/H184)</f>
      </c>
    </row>
    <row r="185">
      <c r="A185" s="7" t="inlineStr">
        <is>
          <t>2026-03-13</t>
        </is>
      </c>
      <c r="B185" s="8" t="inlineStr">
        <is>
          <t>石菖蒲</t>
        </is>
      </c>
      <c r="C185" s="8" t="inlineStr">
        <is>
          <t>一般统货</t>
        </is>
      </c>
      <c r="D185" s="9" t="inlineStr">
        <is>
          <t>元/kg</t>
        </is>
      </c>
      <c r="E185" s="8" t="inlineStr">
        <is>
          <t>产地</t>
        </is>
      </c>
      <c r="F185" s="8" t="inlineStr">
        <is>
          <t>重庆丰都</t>
        </is>
      </c>
      <c r="G185" s="10">
        <v>52.0</v>
      </c>
      <c r="H185" s="10"/>
      <c r="K185" s="9" t="inlineStr">
        <is>
          <t>药通网</t>
        </is>
      </c>
      <c r="L185" s="8" t="inlineStr">
        <is>
          <t>https://www.yt1998.com/ytw/second/marketMgr/detail.jsp?acid=557213</t>
        </is>
      </c>
      <c r="M185" s="8" t="inlineStr">
        <is>
          <t>重庆市丰都县三元镇石菖蒲走动不快</t>
        </is>
      </c>
      <c r="I185" s="10">
        <f>IF(OR(G185="",H185=""),"",G185-H185)</f>
      </c>
      <c r="J185" s="11">
        <f>IF(OR(G185="",H185="",H185=0),"",(G185-H185)/H185)</f>
      </c>
    </row>
    <row r="186">
      <c r="A186" s="7" t="inlineStr">
        <is>
          <t>2026-03-13</t>
        </is>
      </c>
      <c r="B186" s="8" t="inlineStr">
        <is>
          <t>砂仁</t>
        </is>
      </c>
      <c r="C186" s="8" t="inlineStr">
        <is>
          <t>圆果价格</t>
        </is>
      </c>
      <c r="D186" s="9" t="inlineStr">
        <is>
          <t>元/kg</t>
        </is>
      </c>
      <c r="E186" s="8" t="inlineStr">
        <is>
          <t>产地</t>
        </is>
      </c>
      <c r="F186" s="8" t="inlineStr">
        <is>
          <t>云南德宏州瑞丽</t>
        </is>
      </c>
      <c r="G186" s="10">
        <v>28.0</v>
      </c>
      <c r="H186" s="10"/>
      <c r="K186" s="9" t="inlineStr">
        <is>
          <t>药通网</t>
        </is>
      </c>
      <c r="L186" s="8" t="inlineStr">
        <is>
          <t>https://www.yt1998.com/ytw/second/marketMgr/detail.jsp?acid=557184</t>
        </is>
      </c>
      <c r="M186" s="8" t="inlineStr">
        <is>
          <t>云南省德宏州瑞丽市口岸砂仁行情波动不大</t>
        </is>
      </c>
      <c r="I186" s="10">
        <f>IF(OR(G186="",H186=""),"",G186-H186)</f>
      </c>
      <c r="J186" s="11">
        <f>IF(OR(G186="",H186="",H186=0),"",(G186-H186)/H186)</f>
      </c>
    </row>
    <row r="187">
      <c r="A187" s="7" t="inlineStr">
        <is>
          <t>2026-03-13</t>
        </is>
      </c>
      <c r="B187" s="8" t="inlineStr">
        <is>
          <t>艾叶</t>
        </is>
      </c>
      <c r="C187" s="8" t="inlineStr">
        <is>
          <t>统货</t>
        </is>
      </c>
      <c r="D187" s="9" t="inlineStr">
        <is>
          <t>元/kg</t>
        </is>
      </c>
      <c r="E187" s="8" t="inlineStr">
        <is>
          <t>产地</t>
        </is>
      </c>
      <c r="F187" s="8" t="inlineStr">
        <is>
          <t>陕西镇坪</t>
        </is>
      </c>
      <c r="G187" s="10">
        <v>7.0</v>
      </c>
      <c r="H187" s="10"/>
      <c r="K187" s="9" t="inlineStr">
        <is>
          <t>药通网</t>
        </is>
      </c>
      <c r="L187" s="8" t="inlineStr">
        <is>
          <t>https://www.yt1998.com/ytw/second/marketMgr/detail.jsp?acid=557188</t>
        </is>
      </c>
      <c r="M187" s="8" t="inlineStr">
        <is>
          <t>陕西省安康市镇坪县钟宝镇艾叶价稳</t>
        </is>
      </c>
      <c r="I187" s="10">
        <f>IF(OR(G187="",H187=""),"",G187-H187)</f>
      </c>
      <c r="J187" s="11">
        <f>IF(OR(G187="",H187="",H187=0),"",(G187-H187)/H187)</f>
      </c>
    </row>
    <row r="188">
      <c r="A188" s="7" t="inlineStr">
        <is>
          <t>2026-03-13</t>
        </is>
      </c>
      <c r="B188" s="8" t="inlineStr">
        <is>
          <t>苍术</t>
        </is>
      </c>
      <c r="C188" s="8" t="inlineStr">
        <is>
          <t>全干好货价格</t>
        </is>
      </c>
      <c r="D188" s="9" t="inlineStr">
        <is>
          <t>元/kg</t>
        </is>
      </c>
      <c r="E188" s="8" t="inlineStr">
        <is>
          <t>产地</t>
        </is>
      </c>
      <c r="F188" s="8" t="inlineStr">
        <is>
          <t>内蒙古呼伦贝尔塔温敖宝镇</t>
        </is>
      </c>
      <c r="G188" s="10">
        <v>30.0</v>
      </c>
      <c r="H188" s="10"/>
      <c r="K188" s="9" t="inlineStr">
        <is>
          <t>药通网</t>
        </is>
      </c>
      <c r="L188" s="8" t="inlineStr">
        <is>
          <t>https://www.yt1998.com/ytw/second/marketMgr/detail.jsp?acid=557234</t>
        </is>
      </c>
      <c r="M188" s="8" t="inlineStr">
        <is>
          <t>内蒙古呼伦贝尔塔温敖宝镇苍术寻货商家不少</t>
        </is>
      </c>
      <c r="I188" s="10">
        <f>IF(OR(G188="",H188=""),"",G188-H188)</f>
      </c>
      <c r="J188" s="11">
        <f>IF(OR(G188="",H188="",H188=0),"",(G188-H188)/H188)</f>
      </c>
    </row>
    <row r="189">
      <c r="A189" s="7" t="inlineStr">
        <is>
          <t>2026-03-13</t>
        </is>
      </c>
      <c r="B189" s="8" t="inlineStr">
        <is>
          <t>苦杏仁</t>
        </is>
      </c>
      <c r="C189" s="8" t="inlineStr">
        <is>
          <t>统货价格</t>
        </is>
      </c>
      <c r="D189" s="9" t="inlineStr">
        <is>
          <t>元/kg</t>
        </is>
      </c>
      <c r="E189" s="8" t="inlineStr">
        <is>
          <t>产地</t>
        </is>
      </c>
      <c r="F189" s="8" t="inlineStr">
        <is>
          <t>甘肃平凉</t>
        </is>
      </c>
      <c r="G189" s="10">
        <v>18.0</v>
      </c>
      <c r="H189" s="10"/>
      <c r="K189" s="9" t="inlineStr">
        <is>
          <t>药通网</t>
        </is>
      </c>
      <c r="L189" s="8" t="inlineStr">
        <is>
          <t>https://www.yt1998.com/ytw/second/marketMgr/detail.jsp?acid=557238</t>
        </is>
      </c>
      <c r="M189" s="8" t="inlineStr">
        <is>
          <t>甘肃省平凉市华亭市苦杏仁交易不畅</t>
        </is>
      </c>
      <c r="I189" s="10">
        <f>IF(OR(G189="",H189=""),"",G189-H189)</f>
      </c>
      <c r="J189" s="11">
        <f>IF(OR(G189="",H189="",H189=0),"",(G189-H189)/H189)</f>
      </c>
    </row>
    <row r="190">
      <c r="A190" s="7" t="inlineStr">
        <is>
          <t>2026-03-13</t>
        </is>
      </c>
      <c r="B190" s="8" t="inlineStr">
        <is>
          <t>菊花</t>
        </is>
      </c>
      <c r="C190" s="8" t="inlineStr">
        <is>
          <t>北京菊药厂货</t>
        </is>
      </c>
      <c r="D190" s="9" t="inlineStr">
        <is>
          <t>元/kg</t>
        </is>
      </c>
      <c r="E190" s="8" t="inlineStr">
        <is>
          <t>产地</t>
        </is>
      </c>
      <c r="F190" s="8" t="inlineStr">
        <is>
          <t>河北邢台巨鹿县</t>
        </is>
      </c>
      <c r="G190" s="10">
        <v>21.0</v>
      </c>
      <c r="H190" s="10"/>
      <c r="K190" s="9" t="inlineStr">
        <is>
          <t>药通网</t>
        </is>
      </c>
      <c r="L190" s="8" t="inlineStr">
        <is>
          <t>https://www.yt1998.com/ytw/second/marketMgr/detail.jsp?acid=557237</t>
        </is>
      </c>
      <c r="M190" s="8" t="inlineStr">
        <is>
          <t>河北邢台巨鹿县菊花商家购货力度不大</t>
        </is>
      </c>
      <c r="I190" s="10">
        <f>IF(OR(G190="",H190=""),"",G190-H190)</f>
      </c>
      <c r="J190" s="11">
        <f>IF(OR(G190="",H190="",H190=0),"",(G190-H190)/H190)</f>
      </c>
    </row>
    <row r="191">
      <c r="A191" s="7" t="inlineStr">
        <is>
          <t>2026-03-13</t>
        </is>
      </c>
      <c r="B191" s="8" t="inlineStr">
        <is>
          <t>蔓荆子</t>
        </is>
      </c>
      <c r="C191" s="8" t="inlineStr">
        <is>
          <t>原包货价格维持</t>
        </is>
      </c>
      <c r="D191" s="9" t="inlineStr">
        <is>
          <t>元/kg</t>
        </is>
      </c>
      <c r="E191" s="8" t="inlineStr">
        <is>
          <t>产地</t>
        </is>
      </c>
      <c r="F191" s="8" t="inlineStr">
        <is>
          <t>云南德宏州瑞丽</t>
        </is>
      </c>
      <c r="G191" s="10">
        <v>17.0</v>
      </c>
      <c r="H191" s="10"/>
      <c r="K191" s="9" t="inlineStr">
        <is>
          <t>药通网</t>
        </is>
      </c>
      <c r="L191" s="8" t="inlineStr">
        <is>
          <t>https://www.yt1998.com/ytw/second/marketMgr/detail.jsp?acid=557189</t>
        </is>
      </c>
      <c r="M191" s="8" t="inlineStr">
        <is>
          <t>云南省德宏州瑞丽市口岸蔓荆子行情平稳</t>
        </is>
      </c>
      <c r="I191" s="10">
        <f>IF(OR(G191="",H191=""),"",G191-H191)</f>
      </c>
      <c r="J191" s="11">
        <f>IF(OR(G191="",H191="",H191=0),"",(G191-H191)/H191)</f>
      </c>
    </row>
    <row r="192">
      <c r="A192" s="7" t="inlineStr">
        <is>
          <t>2026-03-13</t>
        </is>
      </c>
      <c r="B192" s="8" t="inlineStr">
        <is>
          <t>蝉蜕</t>
        </is>
      </c>
      <c r="C192" s="8" t="inlineStr">
        <is>
          <t>山地货</t>
        </is>
      </c>
      <c r="D192" s="9" t="inlineStr">
        <is>
          <t>元/kg</t>
        </is>
      </c>
      <c r="E192" s="8" t="inlineStr">
        <is>
          <t>产地</t>
        </is>
      </c>
      <c r="F192" s="8" t="inlineStr">
        <is>
          <t>山西陵川</t>
        </is>
      </c>
      <c r="G192" s="10">
        <v>630.0</v>
      </c>
      <c r="H192" s="10"/>
      <c r="K192" s="9" t="inlineStr">
        <is>
          <t>药通网</t>
        </is>
      </c>
      <c r="L192" s="8" t="inlineStr">
        <is>
          <t>https://www.yt1998.com/ytw/second/marketMgr/detail.jsp?acid=557207</t>
        </is>
      </c>
      <c r="M192" s="8" t="inlineStr">
        <is>
          <t>山西晋城市陵川县蝉蜕行情稳中有升</t>
        </is>
      </c>
      <c r="I192" s="10">
        <f>IF(OR(G192="",H192=""),"",G192-H192)</f>
      </c>
      <c r="J192" s="11">
        <f>IF(OR(G192="",H192="",H192=0),"",(G192-H192)/H192)</f>
      </c>
    </row>
    <row r="193">
      <c r="A193" s="7" t="inlineStr">
        <is>
          <t>2026-03-13</t>
        </is>
      </c>
      <c r="B193" s="8" t="inlineStr">
        <is>
          <t>赤芍</t>
        </is>
      </c>
      <c r="C193" s="8" t="inlineStr">
        <is>
          <t>去头统货价格</t>
        </is>
      </c>
      <c r="D193" s="9" t="inlineStr">
        <is>
          <t>元/kg</t>
        </is>
      </c>
      <c r="E193" s="8" t="inlineStr">
        <is>
          <t>产地</t>
        </is>
      </c>
      <c r="F193" s="8" t="inlineStr">
        <is>
          <t>内蒙古呼伦贝尔塔温敖宝镇</t>
        </is>
      </c>
      <c r="G193" s="10">
        <v>28.0</v>
      </c>
      <c r="H193" s="10"/>
      <c r="K193" s="9" t="inlineStr">
        <is>
          <t>药通网</t>
        </is>
      </c>
      <c r="L193" s="8" t="inlineStr">
        <is>
          <t>https://www.yt1998.com/ytw/second/marketMgr/detail.jsp?acid=557235</t>
        </is>
      </c>
      <c r="M193" s="8" t="inlineStr">
        <is>
          <t>内蒙古呼伦贝尔塔温敖宝镇赤芍开始少量交易</t>
        </is>
      </c>
      <c r="I193" s="10">
        <f>IF(OR(G193="",H193=""),"",G193-H193)</f>
      </c>
      <c r="J193" s="11">
        <f>IF(OR(G193="",H193="",H193=0),"",(G193-H193)/H193)</f>
      </c>
    </row>
    <row r="194">
      <c r="A194" s="7" t="inlineStr">
        <is>
          <t>2026-03-13</t>
        </is>
      </c>
      <c r="B194" s="8" t="inlineStr">
        <is>
          <t>连翘</t>
        </is>
      </c>
      <c r="C194" s="8" t="inlineStr">
        <is>
          <t>挥发油合格货</t>
        </is>
      </c>
      <c r="D194" s="9" t="inlineStr">
        <is>
          <t>元/kg</t>
        </is>
      </c>
      <c r="E194" s="8" t="inlineStr">
        <is>
          <t>产地</t>
        </is>
      </c>
      <c r="F194" s="8" t="inlineStr">
        <is>
          <t>山西陵川</t>
        </is>
      </c>
      <c r="G194" s="10">
        <v>43.0</v>
      </c>
      <c r="H194" s="10"/>
      <c r="K194" s="9" t="inlineStr">
        <is>
          <t>药通网</t>
        </is>
      </c>
      <c r="L194" s="8" t="inlineStr">
        <is>
          <t>https://www.yt1998.com/ytw/second/marketMgr/detail.jsp?acid=557216</t>
        </is>
      </c>
      <c r="M194" s="8" t="inlineStr">
        <is>
          <t>山西晋城市陵川县连翘走动顺畅</t>
        </is>
      </c>
      <c r="I194" s="10">
        <f>IF(OR(G194="",H194=""),"",G194-H194)</f>
      </c>
      <c r="J194" s="11">
        <f>IF(OR(G194="",H194="",H194=0),"",(G194-H194)/H194)</f>
      </c>
    </row>
    <row r="195">
      <c r="A195" s="7" t="inlineStr">
        <is>
          <t>2026-03-13</t>
        </is>
      </c>
      <c r="B195" s="8" t="inlineStr">
        <is>
          <t>连翘</t>
        </is>
      </c>
      <c r="C195" s="8" t="inlineStr">
        <is>
          <t>挥发油够的</t>
        </is>
      </c>
      <c r="D195" s="9" t="inlineStr">
        <is>
          <t>元/kg</t>
        </is>
      </c>
      <c r="E195" s="8" t="inlineStr">
        <is>
          <t>产地</t>
        </is>
      </c>
      <c r="F195" s="8" t="inlineStr">
        <is>
          <t>河南洛阳市栾川县</t>
        </is>
      </c>
      <c r="G195" s="10">
        <v>43.0</v>
      </c>
      <c r="H195" s="10"/>
      <c r="K195" s="9" t="inlineStr">
        <is>
          <t>药通网</t>
        </is>
      </c>
      <c r="L195" s="8" t="inlineStr">
        <is>
          <t>https://www.yt1998.com/ytw/second/marketMgr/detail.jsp?acid=557206</t>
        </is>
      </c>
      <c r="M195" s="8" t="inlineStr">
        <is>
          <t>河南洛阳市栾川县连翘多商寻货</t>
        </is>
      </c>
      <c r="I195" s="10">
        <f>IF(OR(G195="",H195=""),"",G195-H195)</f>
      </c>
      <c r="J195" s="11">
        <f>IF(OR(G195="",H195="",H195=0),"",(G195-H195)/H195)</f>
      </c>
    </row>
    <row r="196">
      <c r="A196" s="7" t="inlineStr">
        <is>
          <t>2026-03-13</t>
        </is>
      </c>
      <c r="B196" s="8" t="inlineStr">
        <is>
          <t>金樱子</t>
        </is>
      </c>
      <c r="C196" s="8" t="inlineStr">
        <is>
          <t>中前期货要价</t>
        </is>
      </c>
      <c r="D196" s="9" t="inlineStr">
        <is>
          <t>元/kg</t>
        </is>
      </c>
      <c r="E196" s="8" t="inlineStr">
        <is>
          <t>产地</t>
        </is>
      </c>
      <c r="F196" s="8" t="inlineStr">
        <is>
          <t>江西黎川</t>
        </is>
      </c>
      <c r="G196" s="10">
        <v>8.5</v>
      </c>
      <c r="H196" s="10"/>
      <c r="K196" s="9" t="inlineStr">
        <is>
          <t>药通网</t>
        </is>
      </c>
      <c r="L196" s="8" t="inlineStr">
        <is>
          <t>https://www.yt1998.com/ytw/second/marketMgr/detail.jsp?acid=557214</t>
        </is>
      </c>
      <c r="M196" s="8" t="inlineStr">
        <is>
          <t>江西省抚州市黎川县金樱子价稳</t>
        </is>
      </c>
      <c r="I196" s="10">
        <f>IF(OR(G196="",H196=""),"",G196-H196)</f>
      </c>
      <c r="J196" s="11">
        <f>IF(OR(G196="",H196="",H196=0),"",(G196-H196)/H196)</f>
      </c>
    </row>
    <row r="197">
      <c r="A197" s="7" t="inlineStr">
        <is>
          <t>2026-03-13</t>
        </is>
      </c>
      <c r="B197" s="8" t="inlineStr">
        <is>
          <t>金樱子</t>
        </is>
      </c>
      <c r="C197" s="8" t="inlineStr">
        <is>
          <t>中后期货</t>
        </is>
      </c>
      <c r="D197" s="9" t="inlineStr">
        <is>
          <t>元/kg</t>
        </is>
      </c>
      <c r="E197" s="8" t="inlineStr">
        <is>
          <t>产地</t>
        </is>
      </c>
      <c r="F197" s="8" t="inlineStr">
        <is>
          <t>湖南永州零陵区邮亭圩</t>
        </is>
      </c>
      <c r="G197" s="10">
        <v>13.5</v>
      </c>
      <c r="H197" s="10"/>
      <c r="K197" s="9" t="inlineStr">
        <is>
          <t>药通网</t>
        </is>
      </c>
      <c r="L197" s="8" t="inlineStr">
        <is>
          <t>https://www.yt1998.com/ytw/second/marketMgr/detail.jsp?acid=557202</t>
        </is>
      </c>
      <c r="M197" s="8" t="inlineStr">
        <is>
          <t>湖南永州零陵区邮亭圩金樱子价稳</t>
        </is>
      </c>
      <c r="I197" s="10">
        <f>IF(OR(G197="",H197=""),"",G197-H197)</f>
      </c>
      <c r="J197" s="11">
        <f>IF(OR(G197="",H197="",H197=0),"",(G197-H197)/H197)</f>
      </c>
    </row>
    <row r="198">
      <c r="A198" s="7" t="inlineStr">
        <is>
          <t>2026-03-13</t>
        </is>
      </c>
      <c r="B198" s="8" t="inlineStr">
        <is>
          <t>金银花</t>
        </is>
      </c>
      <c r="C198" s="8" t="inlineStr">
        <is>
          <t>青花不包检头茬货</t>
        </is>
      </c>
      <c r="D198" s="9" t="inlineStr">
        <is>
          <t>元/kg</t>
        </is>
      </c>
      <c r="E198" s="8" t="inlineStr">
        <is>
          <t>产地</t>
        </is>
      </c>
      <c r="F198" s="8" t="inlineStr">
        <is>
          <t>河北邢台巨鹿县</t>
        </is>
      </c>
      <c r="G198" s="10">
        <v>103.0</v>
      </c>
      <c r="H198" s="10"/>
      <c r="K198" s="9" t="inlineStr">
        <is>
          <t>药通网</t>
        </is>
      </c>
      <c r="L198" s="8" t="inlineStr">
        <is>
          <t>https://www.yt1998.com/ytw/second/marketMgr/detail.jsp?acid=557236</t>
        </is>
      </c>
      <c r="M198" s="8" t="inlineStr">
        <is>
          <t>河北邢台巨鹿县金银花走动良好</t>
        </is>
      </c>
      <c r="I198" s="10">
        <f>IF(OR(G198="",H198=""),"",G198-H198)</f>
      </c>
      <c r="J198" s="11">
        <f>IF(OR(G198="",H198="",H198=0),"",(G198-H198)/H198)</f>
      </c>
    </row>
    <row r="199">
      <c r="A199" s="7" t="inlineStr">
        <is>
          <t>2026-03-13</t>
        </is>
      </c>
      <c r="B199" s="8" t="inlineStr">
        <is>
          <t>马兜铃</t>
        </is>
      </c>
      <c r="C199" s="8" t="inlineStr">
        <is>
          <t>统货</t>
        </is>
      </c>
      <c r="D199" s="9" t="inlineStr">
        <is>
          <t>元/kg</t>
        </is>
      </c>
      <c r="E199" s="8" t="inlineStr">
        <is>
          <t>产地</t>
        </is>
      </c>
      <c r="F199" s="8" t="inlineStr">
        <is>
          <t>山东日照</t>
        </is>
      </c>
      <c r="G199" s="10">
        <v>12.0</v>
      </c>
      <c r="H199" s="10"/>
      <c r="K199" s="9" t="inlineStr">
        <is>
          <t>药通网</t>
        </is>
      </c>
      <c r="L199" s="8" t="inlineStr">
        <is>
          <t>https://www.yt1998.com/ytw/second/marketMgr/detail.jsp?acid=557192</t>
        </is>
      </c>
      <c r="M199" s="8" t="inlineStr">
        <is>
          <t>山东省日照市莒县棋山镇马兜铃按需走销</t>
        </is>
      </c>
      <c r="I199" s="10">
        <f>IF(OR(G199="",H199=""),"",G199-H199)</f>
      </c>
      <c r="J199" s="11">
        <f>IF(OR(G199="",H199="",H199=0),"",(G199-H199)/H199)</f>
      </c>
    </row>
    <row r="200">
      <c r="A200" s="7" t="inlineStr">
        <is>
          <t>2026-03-13</t>
        </is>
      </c>
      <c r="B200" s="8" t="inlineStr">
        <is>
          <t>黄连</t>
        </is>
      </c>
      <c r="C200" s="8" t="inlineStr">
        <is>
          <t>鸡爪连价格</t>
        </is>
      </c>
      <c r="D200" s="9" t="inlineStr">
        <is>
          <t>元/kg</t>
        </is>
      </c>
      <c r="E200" s="8" t="inlineStr">
        <is>
          <t>产地</t>
        </is>
      </c>
      <c r="F200" s="8" t="inlineStr">
        <is>
          <t>四川什邡</t>
        </is>
      </c>
      <c r="G200" s="10">
        <v>310.0</v>
      </c>
      <c r="H200" s="10"/>
      <c r="K200" s="9" t="inlineStr">
        <is>
          <t>药通网</t>
        </is>
      </c>
      <c r="L200" s="8" t="inlineStr">
        <is>
          <t>https://www.yt1998.com/ytw/second/marketMgr/detail.jsp?acid=557215</t>
        </is>
      </c>
      <c r="M200" s="8" t="inlineStr">
        <is>
          <t>四川省什邡市冰川镇黄连走动尚可</t>
        </is>
      </c>
      <c r="I200" s="10">
        <f>IF(OR(G200="",H200=""),"",G200-H200)</f>
      </c>
      <c r="J200" s="11">
        <f>IF(OR(G200="",H200="",H200=0),"",(G200-H200)/H200)</f>
      </c>
    </row>
    <row r="201">
      <c r="A201" s="7" t="inlineStr">
        <is>
          <t>2026-03-13</t>
        </is>
      </c>
      <c r="B201" s="8" t="inlineStr">
        <is>
          <t>黄连</t>
        </is>
      </c>
      <c r="C201" s="8" t="inlineStr">
        <is>
          <t>鸡爪连价格</t>
        </is>
      </c>
      <c r="D201" s="9" t="inlineStr">
        <is>
          <t>元/kg</t>
        </is>
      </c>
      <c r="E201" s="8" t="inlineStr">
        <is>
          <t>产地</t>
        </is>
      </c>
      <c r="F201" s="8" t="inlineStr">
        <is>
          <t>湖北利川</t>
        </is>
      </c>
      <c r="G201" s="10">
        <v>335.0</v>
      </c>
      <c r="H201" s="10"/>
      <c r="K201" s="9" t="inlineStr">
        <is>
          <t>药通网</t>
        </is>
      </c>
      <c r="L201" s="8" t="inlineStr">
        <is>
          <t>https://www.yt1998.com/ytw/second/marketMgr/detail.jsp?acid=557190</t>
        </is>
      </c>
      <c r="M201" s="8" t="inlineStr">
        <is>
          <t>3月13日湖北省利川市汪营镇黄连市场交易</t>
        </is>
      </c>
      <c r="I201" s="10">
        <f>IF(OR(G201="",H201=""),"",G201-H201)</f>
      </c>
      <c r="J201" s="11">
        <f>IF(OR(G201="",H201="",H201=0),"",(G201-H201)/H201)</f>
      </c>
    </row>
  </sheetData>
  <autoFilter ref="A1:M501" ns1:filterBottomFollowUsedRange="0">
    <extLst/>
  </autoFilter>
  <dataValidations count="3">
    <dataValidation type="list" allowBlank="1" error="请从下拉项中选择，或检查输入内容" prompt="可从下拉中选择，也可手动输入" sqref="D2:D501">
      <formula1>下拉选项!$A$2:$A$5</formula1>
    </dataValidation>
    <dataValidation type="list" allowBlank="1" error="请从下拉项中选择，或检查输入内容" prompt="可从下拉中选择，也可手动输入" sqref="E2:E501">
      <formula1>下拉选项!$B$2:$B$6</formula1>
    </dataValidation>
    <dataValidation type="list" allowBlank="1" error="请从下拉项中选择，或检查输入内容" prompt="可从下拉中选择，也可手动输入" sqref="K2:K501">
      <formula1>下拉选项!$C$2:$C$5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sheetData>
    <row r="1" spans="1:3">
      <c r="A1" t="s">
        <v>3</v>
      </c>
      <c r="B1" t="s">
        <v>4</v>
      </c>
      <c r="C1" t="s">
        <v>10</v>
      </c>
    </row>
    <row r="2" spans="1:3">
      <c r="A2" t="s">
        <v>16</v>
      </c>
      <c r="B2" t="s">
        <v>17</v>
      </c>
      <c r="C2" t="s">
        <v>19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25</v>
      </c>
      <c r="B4" t="s">
        <v>26</v>
      </c>
      <c r="C4" t="s">
        <v>27</v>
      </c>
    </row>
    <row r="5" spans="1:3">
      <c r="A5" t="s">
        <v>28</v>
      </c>
      <c r="B5" t="s">
        <v>29</v>
      </c>
      <c r="C5" t="s">
        <v>30</v>
      </c>
    </row>
    <row r="6" spans="1:3">
      <c r="B6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14" customWidth="1"/>
    <col min="2" max="2" width="10" customWidth="1"/>
    <col min="3" max="3" width="32" customWidth="1"/>
    <col min="4" max="4" width="26" customWidth="1"/>
  </cols>
  <sheetData>
    <row r="1" spans="1:4">
      <c r="A1" s="2" t="s">
        <v>31</v>
      </c>
      <c r="B1" s="2" t="s">
        <v>32</v>
      </c>
      <c r="C1" s="2" t="s">
        <v>33</v>
      </c>
      <c r="D1" s="2" t="s">
        <v>34</v>
      </c>
    </row>
    <row r="2" spans="1:4">
      <c r="A2" s="3" t="s">
        <v>0</v>
      </c>
      <c r="B2" s="4" t="s">
        <v>35</v>
      </c>
      <c r="C2" s="3" t="s">
        <v>36</v>
      </c>
      <c r="D2" s="3" t="s">
        <v>13</v>
      </c>
    </row>
    <row r="3" spans="1:4">
      <c r="A3" s="3" t="s">
        <v>1</v>
      </c>
      <c r="B3" s="4" t="s">
        <v>35</v>
      </c>
      <c r="C3" s="3" t="s">
        <v>37</v>
      </c>
      <c r="D3" s="3" t="s">
        <v>14</v>
      </c>
    </row>
    <row r="4" spans="1:4">
      <c r="A4" s="3" t="s">
        <v>2</v>
      </c>
      <c r="B4" s="4" t="s">
        <v>35</v>
      </c>
      <c r="C4" s="3" t="s">
        <v>38</v>
      </c>
      <c r="D4" s="3" t="s">
        <v>15</v>
      </c>
    </row>
    <row r="5" spans="1:4">
      <c r="A5" s="3" t="s">
        <v>3</v>
      </c>
      <c r="B5" s="4" t="s">
        <v>35</v>
      </c>
      <c r="C5" s="3" t="s">
        <v>39</v>
      </c>
      <c r="D5" s="3" t="s">
        <v>16</v>
      </c>
    </row>
    <row r="6" spans="1:4">
      <c r="A6" s="3" t="s">
        <v>4</v>
      </c>
      <c r="B6" s="4" t="s">
        <v>35</v>
      </c>
      <c r="C6" s="3" t="s">
        <v>40</v>
      </c>
      <c r="D6" s="3" t="s">
        <v>17</v>
      </c>
    </row>
    <row r="7" spans="1:4">
      <c r="A7" s="5" t="s">
        <v>5</v>
      </c>
      <c r="B7" s="6" t="s">
        <v>41</v>
      </c>
      <c r="C7" s="5" t="s">
        <v>42</v>
      </c>
      <c r="D7" s="5" t="s">
        <v>18</v>
      </c>
    </row>
    <row r="8" spans="1:4">
      <c r="A8" s="3" t="s">
        <v>6</v>
      </c>
      <c r="B8" s="4" t="s">
        <v>35</v>
      </c>
      <c r="C8" s="3" t="s">
        <v>43</v>
      </c>
      <c r="D8" s="3" t="s">
        <v>44</v>
      </c>
    </row>
    <row r="9" spans="1:4">
      <c r="A9" s="5" t="s">
        <v>7</v>
      </c>
      <c r="B9" s="6" t="s">
        <v>41</v>
      </c>
      <c r="C9" s="5" t="s">
        <v>45</v>
      </c>
      <c r="D9" s="5" t="s">
        <v>46</v>
      </c>
    </row>
    <row r="10" spans="1:4">
      <c r="A10" s="5" t="s">
        <v>8</v>
      </c>
      <c r="B10" s="6" t="s">
        <v>47</v>
      </c>
      <c r="C10" s="5" t="s">
        <v>48</v>
      </c>
      <c r="D10" s="5" t="s">
        <v>49</v>
      </c>
    </row>
    <row r="11" spans="1:4">
      <c r="A11" s="5" t="s">
        <v>9</v>
      </c>
      <c r="B11" s="6" t="s">
        <v>47</v>
      </c>
      <c r="C11" s="5" t="s">
        <v>48</v>
      </c>
      <c r="D11" s="5" t="s">
        <v>50</v>
      </c>
    </row>
    <row r="12" spans="1:4">
      <c r="A12" s="3" t="s">
        <v>10</v>
      </c>
      <c r="B12" s="4" t="s">
        <v>35</v>
      </c>
      <c r="C12" s="3" t="s">
        <v>51</v>
      </c>
      <c r="D12" s="3" t="s">
        <v>19</v>
      </c>
    </row>
    <row r="13" spans="1:4">
      <c r="A13" s="5" t="s">
        <v>11</v>
      </c>
      <c r="B13" s="6" t="s">
        <v>41</v>
      </c>
      <c r="C13" s="5" t="s">
        <v>52</v>
      </c>
      <c r="D13" s="5" t="s">
        <v>20</v>
      </c>
    </row>
    <row r="14" spans="1:4">
      <c r="A14" s="5" t="s">
        <v>12</v>
      </c>
      <c r="B14" s="6" t="s">
        <v>41</v>
      </c>
      <c r="C14" s="5" t="s">
        <v>53</v>
      </c>
      <c r="D14" s="5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E1"/>
    </sheetView>
  </sheetViews>
  <sheetFormatPr defaultColWidth="9" defaultRowHeight="16.8" outlineLevelRow="6" outlineLevelCol="4"/>
  <cols>
    <col min="1" max="1" width="72" customWidth="1"/>
  </cols>
  <sheetData>
    <row r="1" ht="20.4" spans="1:1">
      <c r="A1" s="1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7" spans="1:1">
      <c r="A7" t="s">
        <v>60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报价录入</vt:lpstr>
      <vt:lpstr>下拉选项</vt:lpstr>
      <vt:lpstr>字段说明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</cp:lastModifiedBy>
  <dcterms:created xsi:type="dcterms:W3CDTF">2026-03-13T17:38:00Z</dcterms:created>
  <dcterms:modified xsi:type="dcterms:W3CDTF">2026-03-13T17:41:33Z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3342EB8FA3F83141CDDBB369C9BC72AF_42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